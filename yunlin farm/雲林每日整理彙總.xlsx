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pppl\PycharmProjects\PythonProject\yunlin farm\"/>
    </mc:Choice>
  </mc:AlternateContent>
  <xr:revisionPtr revIDLastSave="0" documentId="13_ncr:1_{1C39DF04-9391-4895-84B9-CCD0F235D0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圖表" sheetId="2" r:id="rId2"/>
  </sheets>
  <definedNames>
    <definedName name="_xlchart.v1.0" hidden="1">Sheet1!$S$2</definedName>
    <definedName name="_xlchart.v1.1" hidden="1">Sheet1!$T$2</definedName>
    <definedName name="_xlchart.v1.2" hidden="1">圖表!$V$13</definedName>
    <definedName name="_xlchart.v1.3" hidden="1">圖表!$V$13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2" i="1"/>
  <c r="O163" i="1"/>
  <c r="O162" i="1"/>
  <c r="O224" i="1"/>
  <c r="O225" i="1"/>
  <c r="O226" i="1"/>
  <c r="O227" i="1"/>
  <c r="O228" i="1"/>
  <c r="O229" i="1"/>
  <c r="O230" i="1"/>
  <c r="O223" i="1"/>
  <c r="U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5" i="1"/>
  <c r="N516" i="1"/>
  <c r="N517" i="1"/>
  <c r="N518" i="1"/>
  <c r="N519" i="1"/>
  <c r="N343" i="1"/>
  <c r="N342" i="1"/>
  <c r="N341" i="1"/>
</calcChain>
</file>

<file path=xl/sharedStrings.xml><?xml version="1.0" encoding="utf-8"?>
<sst xmlns="http://schemas.openxmlformats.org/spreadsheetml/2006/main" count="22" uniqueCount="22">
  <si>
    <t>日期</t>
  </si>
  <si>
    <t>室外最高溫度 (1)</t>
  </si>
  <si>
    <t>室外最低溫度 (1)</t>
  </si>
  <si>
    <t>室外濕度 (2)</t>
  </si>
  <si>
    <t>室外光度 (3)</t>
  </si>
  <si>
    <t>室外風速 (4)</t>
  </si>
  <si>
    <t>室外風向 (5)</t>
  </si>
  <si>
    <t>土壤溫度 (8)</t>
  </si>
  <si>
    <t>土壤濕度 (9)</t>
  </si>
  <si>
    <t>土壤電導度 (10)</t>
  </si>
  <si>
    <t>單次自動灌溉總量 (15)</t>
  </si>
  <si>
    <t>瞬時灌溉水量 (13)</t>
  </si>
  <si>
    <t>當日累積雨量 (7)</t>
  </si>
  <si>
    <t>總累積灌溉水量 (11)</t>
  </si>
  <si>
    <t>每日灌溉水量 (ton)</t>
  </si>
  <si>
    <t>當日雨量 (6)</t>
    <phoneticPr fontId="2" type="noConversion"/>
  </si>
  <si>
    <t>aquacrop模擬灌溉量</t>
    <phoneticPr fontId="2" type="noConversion"/>
  </si>
  <si>
    <t>模式(mm)</t>
    <phoneticPr fontId="2" type="noConversion"/>
  </si>
  <si>
    <t>模式ton</t>
    <phoneticPr fontId="2" type="noConversion"/>
  </si>
  <si>
    <t>area(ha)</t>
    <phoneticPr fontId="2" type="noConversion"/>
  </si>
  <si>
    <t>每日灌溉水量 (mm)</t>
    <phoneticPr fontId="2" type="noConversion"/>
  </si>
  <si>
    <t>實際灌溉(mm)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</si>
</sst>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0.00_);[Red]\(0.00\)"/>
    <numFmt numFmtId="178" formatCode="0.0_);[Red]\(0.0\)"/>
  </numFmts>
  <fonts count="4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1"/>
      <color theme="1"/>
      <name val="PMingLiu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7" fontId="1" fillId="0" borderId="1" xfId="0" applyNumberFormat="1" applyFont="1" applyBorder="1" applyAlignment="1">
      <alignment horizontal="center" vertical="top"/>
    </xf>
    <xf numFmtId="177" fontId="0" fillId="0" borderId="0" xfId="0" applyNumberFormat="1"/>
    <xf numFmtId="178" fontId="1" fillId="0" borderId="1" xfId="0" applyNumberFormat="1" applyFont="1" applyBorder="1" applyAlignment="1">
      <alignment horizontal="center" vertical="top"/>
    </xf>
    <xf numFmtId="178" fontId="0" fillId="0" borderId="0" xfId="0" applyNumberFormat="1"/>
    <xf numFmtId="0" fontId="3" fillId="0" borderId="0" xfId="0" applyFont="1"/>
    <xf numFmtId="2" fontId="0" fillId="0" borderId="0" xfId="0" applyNumberFormat="1"/>
    <xf numFmtId="177" fontId="1" fillId="0" borderId="2" xfId="0" applyNumberFormat="1" applyFont="1" applyFill="1" applyBorder="1" applyAlignment="1">
      <alignment horizontal="center" vertical="top"/>
    </xf>
    <xf numFmtId="0" fontId="3" fillId="2" borderId="0" xfId="0" applyFont="1" applyFill="1"/>
    <xf numFmtId="177" fontId="1" fillId="2" borderId="2" xfId="0" applyNumberFormat="1" applyFont="1" applyFill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每日灌溉用水比較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模式推估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Sheet1!$A$264:$A$395</c:f>
              <c:numCache>
                <c:formatCode>yyyy\-mm\-dd</c:formatCode>
                <c:ptCount val="132"/>
                <c:pt idx="0">
                  <c:v>45706</c:v>
                </c:pt>
                <c:pt idx="1">
                  <c:v>45707</c:v>
                </c:pt>
                <c:pt idx="2">
                  <c:v>45708</c:v>
                </c:pt>
                <c:pt idx="3">
                  <c:v>45709</c:v>
                </c:pt>
                <c:pt idx="4">
                  <c:v>45710</c:v>
                </c:pt>
                <c:pt idx="5">
                  <c:v>45711</c:v>
                </c:pt>
                <c:pt idx="6">
                  <c:v>45712</c:v>
                </c:pt>
                <c:pt idx="7">
                  <c:v>45713</c:v>
                </c:pt>
                <c:pt idx="8">
                  <c:v>45714</c:v>
                </c:pt>
                <c:pt idx="9">
                  <c:v>45715</c:v>
                </c:pt>
                <c:pt idx="10">
                  <c:v>45716</c:v>
                </c:pt>
                <c:pt idx="11">
                  <c:v>45717</c:v>
                </c:pt>
                <c:pt idx="12">
                  <c:v>45718</c:v>
                </c:pt>
                <c:pt idx="13">
                  <c:v>45719</c:v>
                </c:pt>
                <c:pt idx="14">
                  <c:v>45720</c:v>
                </c:pt>
                <c:pt idx="15">
                  <c:v>45721</c:v>
                </c:pt>
                <c:pt idx="16">
                  <c:v>45722</c:v>
                </c:pt>
                <c:pt idx="17">
                  <c:v>45723</c:v>
                </c:pt>
                <c:pt idx="18">
                  <c:v>45724</c:v>
                </c:pt>
                <c:pt idx="19">
                  <c:v>45725</c:v>
                </c:pt>
                <c:pt idx="20">
                  <c:v>45726</c:v>
                </c:pt>
                <c:pt idx="21">
                  <c:v>45727</c:v>
                </c:pt>
                <c:pt idx="22">
                  <c:v>45728</c:v>
                </c:pt>
                <c:pt idx="23">
                  <c:v>45729</c:v>
                </c:pt>
                <c:pt idx="24">
                  <c:v>45730</c:v>
                </c:pt>
                <c:pt idx="25">
                  <c:v>45731</c:v>
                </c:pt>
                <c:pt idx="26">
                  <c:v>45732</c:v>
                </c:pt>
                <c:pt idx="27">
                  <c:v>45733</c:v>
                </c:pt>
                <c:pt idx="28">
                  <c:v>45734</c:v>
                </c:pt>
                <c:pt idx="29">
                  <c:v>45735</c:v>
                </c:pt>
                <c:pt idx="30">
                  <c:v>45736</c:v>
                </c:pt>
                <c:pt idx="31">
                  <c:v>45737</c:v>
                </c:pt>
                <c:pt idx="32">
                  <c:v>45738</c:v>
                </c:pt>
                <c:pt idx="33">
                  <c:v>45739</c:v>
                </c:pt>
                <c:pt idx="34">
                  <c:v>45740</c:v>
                </c:pt>
                <c:pt idx="35">
                  <c:v>45741</c:v>
                </c:pt>
                <c:pt idx="36">
                  <c:v>45742</c:v>
                </c:pt>
                <c:pt idx="37">
                  <c:v>45743</c:v>
                </c:pt>
                <c:pt idx="38">
                  <c:v>45744</c:v>
                </c:pt>
                <c:pt idx="39">
                  <c:v>45745</c:v>
                </c:pt>
                <c:pt idx="40">
                  <c:v>45746</c:v>
                </c:pt>
                <c:pt idx="41">
                  <c:v>45747</c:v>
                </c:pt>
                <c:pt idx="42">
                  <c:v>45748</c:v>
                </c:pt>
                <c:pt idx="43">
                  <c:v>45749</c:v>
                </c:pt>
                <c:pt idx="44">
                  <c:v>45750</c:v>
                </c:pt>
                <c:pt idx="45">
                  <c:v>45751</c:v>
                </c:pt>
                <c:pt idx="46">
                  <c:v>45752</c:v>
                </c:pt>
                <c:pt idx="47">
                  <c:v>45753</c:v>
                </c:pt>
                <c:pt idx="48">
                  <c:v>45754</c:v>
                </c:pt>
                <c:pt idx="49">
                  <c:v>45755</c:v>
                </c:pt>
                <c:pt idx="50">
                  <c:v>45756</c:v>
                </c:pt>
                <c:pt idx="51">
                  <c:v>45757</c:v>
                </c:pt>
                <c:pt idx="52">
                  <c:v>45758</c:v>
                </c:pt>
                <c:pt idx="53">
                  <c:v>45759</c:v>
                </c:pt>
                <c:pt idx="54">
                  <c:v>45760</c:v>
                </c:pt>
                <c:pt idx="55">
                  <c:v>45761</c:v>
                </c:pt>
                <c:pt idx="56">
                  <c:v>45762</c:v>
                </c:pt>
                <c:pt idx="57">
                  <c:v>45763</c:v>
                </c:pt>
                <c:pt idx="58">
                  <c:v>45764</c:v>
                </c:pt>
                <c:pt idx="59">
                  <c:v>45765</c:v>
                </c:pt>
                <c:pt idx="60">
                  <c:v>45766</c:v>
                </c:pt>
                <c:pt idx="61">
                  <c:v>45767</c:v>
                </c:pt>
                <c:pt idx="62">
                  <c:v>45768</c:v>
                </c:pt>
                <c:pt idx="63">
                  <c:v>45769</c:v>
                </c:pt>
                <c:pt idx="64">
                  <c:v>45770</c:v>
                </c:pt>
                <c:pt idx="65">
                  <c:v>45771</c:v>
                </c:pt>
                <c:pt idx="66">
                  <c:v>45772</c:v>
                </c:pt>
                <c:pt idx="67">
                  <c:v>45773</c:v>
                </c:pt>
                <c:pt idx="68">
                  <c:v>45774</c:v>
                </c:pt>
                <c:pt idx="69">
                  <c:v>45775</c:v>
                </c:pt>
                <c:pt idx="70">
                  <c:v>45776</c:v>
                </c:pt>
                <c:pt idx="71">
                  <c:v>45777</c:v>
                </c:pt>
                <c:pt idx="72">
                  <c:v>45778</c:v>
                </c:pt>
                <c:pt idx="73">
                  <c:v>45779</c:v>
                </c:pt>
                <c:pt idx="74">
                  <c:v>45780</c:v>
                </c:pt>
                <c:pt idx="75">
                  <c:v>45781</c:v>
                </c:pt>
                <c:pt idx="76">
                  <c:v>45782</c:v>
                </c:pt>
                <c:pt idx="77">
                  <c:v>45783</c:v>
                </c:pt>
                <c:pt idx="78">
                  <c:v>45784</c:v>
                </c:pt>
                <c:pt idx="79">
                  <c:v>45785</c:v>
                </c:pt>
                <c:pt idx="80">
                  <c:v>45786</c:v>
                </c:pt>
                <c:pt idx="81">
                  <c:v>45787</c:v>
                </c:pt>
                <c:pt idx="82">
                  <c:v>45788</c:v>
                </c:pt>
                <c:pt idx="83">
                  <c:v>45789</c:v>
                </c:pt>
                <c:pt idx="84">
                  <c:v>45790</c:v>
                </c:pt>
                <c:pt idx="85">
                  <c:v>45791</c:v>
                </c:pt>
                <c:pt idx="86">
                  <c:v>45792</c:v>
                </c:pt>
                <c:pt idx="87">
                  <c:v>45793</c:v>
                </c:pt>
                <c:pt idx="88">
                  <c:v>45794</c:v>
                </c:pt>
                <c:pt idx="89">
                  <c:v>45795</c:v>
                </c:pt>
                <c:pt idx="90">
                  <c:v>45796</c:v>
                </c:pt>
                <c:pt idx="91">
                  <c:v>45797</c:v>
                </c:pt>
                <c:pt idx="92">
                  <c:v>45798</c:v>
                </c:pt>
                <c:pt idx="93">
                  <c:v>45799</c:v>
                </c:pt>
                <c:pt idx="94">
                  <c:v>45800</c:v>
                </c:pt>
                <c:pt idx="95">
                  <c:v>45801</c:v>
                </c:pt>
                <c:pt idx="96">
                  <c:v>45802</c:v>
                </c:pt>
                <c:pt idx="97">
                  <c:v>45803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45808</c:v>
                </c:pt>
                <c:pt idx="103">
                  <c:v>45809</c:v>
                </c:pt>
                <c:pt idx="104">
                  <c:v>45810</c:v>
                </c:pt>
                <c:pt idx="105">
                  <c:v>45811</c:v>
                </c:pt>
                <c:pt idx="106">
                  <c:v>45812</c:v>
                </c:pt>
                <c:pt idx="107">
                  <c:v>45813</c:v>
                </c:pt>
                <c:pt idx="108">
                  <c:v>45814</c:v>
                </c:pt>
                <c:pt idx="109">
                  <c:v>45815</c:v>
                </c:pt>
                <c:pt idx="110">
                  <c:v>45816</c:v>
                </c:pt>
                <c:pt idx="111">
                  <c:v>45817</c:v>
                </c:pt>
                <c:pt idx="112">
                  <c:v>45818</c:v>
                </c:pt>
                <c:pt idx="113">
                  <c:v>45819</c:v>
                </c:pt>
                <c:pt idx="114">
                  <c:v>45820</c:v>
                </c:pt>
                <c:pt idx="115">
                  <c:v>45821</c:v>
                </c:pt>
                <c:pt idx="116">
                  <c:v>45822</c:v>
                </c:pt>
                <c:pt idx="117">
                  <c:v>45823</c:v>
                </c:pt>
                <c:pt idx="118">
                  <c:v>45824</c:v>
                </c:pt>
                <c:pt idx="119">
                  <c:v>45825</c:v>
                </c:pt>
                <c:pt idx="120">
                  <c:v>45826</c:v>
                </c:pt>
                <c:pt idx="121">
                  <c:v>45827</c:v>
                </c:pt>
                <c:pt idx="122">
                  <c:v>45828</c:v>
                </c:pt>
                <c:pt idx="123">
                  <c:v>45829</c:v>
                </c:pt>
                <c:pt idx="124">
                  <c:v>45830</c:v>
                </c:pt>
                <c:pt idx="125">
                  <c:v>45831</c:v>
                </c:pt>
                <c:pt idx="126">
                  <c:v>45832</c:v>
                </c:pt>
                <c:pt idx="127">
                  <c:v>45833</c:v>
                </c:pt>
                <c:pt idx="128">
                  <c:v>45834</c:v>
                </c:pt>
                <c:pt idx="129">
                  <c:v>45835</c:v>
                </c:pt>
                <c:pt idx="130">
                  <c:v>45836</c:v>
                </c:pt>
                <c:pt idx="131">
                  <c:v>45837</c:v>
                </c:pt>
              </c:numCache>
            </c:numRef>
          </c:xVal>
          <c:yVal>
            <c:numRef>
              <c:f>Sheet1!$O$264:$O$395</c:f>
              <c:numCache>
                <c:formatCode>General</c:formatCode>
                <c:ptCount val="1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3.2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2.1</c:v>
                </c:pt>
                <c:pt idx="99">
                  <c:v>3.7</c:v>
                </c:pt>
                <c:pt idx="100">
                  <c:v>4.3</c:v>
                </c:pt>
                <c:pt idx="101">
                  <c:v>3.4</c:v>
                </c:pt>
                <c:pt idx="102">
                  <c:v>3</c:v>
                </c:pt>
                <c:pt idx="103">
                  <c:v>2.4</c:v>
                </c:pt>
                <c:pt idx="104">
                  <c:v>1.4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68-40A8-9DA5-BE0BD05C00EA}"/>
            </c:ext>
          </c:extLst>
        </c:ser>
        <c:ser>
          <c:idx val="1"/>
          <c:order val="1"/>
          <c:tx>
            <c:v>實際用水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Sheet1!$A$264:$A$395</c:f>
              <c:numCache>
                <c:formatCode>yyyy\-mm\-dd</c:formatCode>
                <c:ptCount val="132"/>
                <c:pt idx="0">
                  <c:v>45706</c:v>
                </c:pt>
                <c:pt idx="1">
                  <c:v>45707</c:v>
                </c:pt>
                <c:pt idx="2">
                  <c:v>45708</c:v>
                </c:pt>
                <c:pt idx="3">
                  <c:v>45709</c:v>
                </c:pt>
                <c:pt idx="4">
                  <c:v>45710</c:v>
                </c:pt>
                <c:pt idx="5">
                  <c:v>45711</c:v>
                </c:pt>
                <c:pt idx="6">
                  <c:v>45712</c:v>
                </c:pt>
                <c:pt idx="7">
                  <c:v>45713</c:v>
                </c:pt>
                <c:pt idx="8">
                  <c:v>45714</c:v>
                </c:pt>
                <c:pt idx="9">
                  <c:v>45715</c:v>
                </c:pt>
                <c:pt idx="10">
                  <c:v>45716</c:v>
                </c:pt>
                <c:pt idx="11">
                  <c:v>45717</c:v>
                </c:pt>
                <c:pt idx="12">
                  <c:v>45718</c:v>
                </c:pt>
                <c:pt idx="13">
                  <c:v>45719</c:v>
                </c:pt>
                <c:pt idx="14">
                  <c:v>45720</c:v>
                </c:pt>
                <c:pt idx="15">
                  <c:v>45721</c:v>
                </c:pt>
                <c:pt idx="16">
                  <c:v>45722</c:v>
                </c:pt>
                <c:pt idx="17">
                  <c:v>45723</c:v>
                </c:pt>
                <c:pt idx="18">
                  <c:v>45724</c:v>
                </c:pt>
                <c:pt idx="19">
                  <c:v>45725</c:v>
                </c:pt>
                <c:pt idx="20">
                  <c:v>45726</c:v>
                </c:pt>
                <c:pt idx="21">
                  <c:v>45727</c:v>
                </c:pt>
                <c:pt idx="22">
                  <c:v>45728</c:v>
                </c:pt>
                <c:pt idx="23">
                  <c:v>45729</c:v>
                </c:pt>
                <c:pt idx="24">
                  <c:v>45730</c:v>
                </c:pt>
                <c:pt idx="25">
                  <c:v>45731</c:v>
                </c:pt>
                <c:pt idx="26">
                  <c:v>45732</c:v>
                </c:pt>
                <c:pt idx="27">
                  <c:v>45733</c:v>
                </c:pt>
                <c:pt idx="28">
                  <c:v>45734</c:v>
                </c:pt>
                <c:pt idx="29">
                  <c:v>45735</c:v>
                </c:pt>
                <c:pt idx="30">
                  <c:v>45736</c:v>
                </c:pt>
                <c:pt idx="31">
                  <c:v>45737</c:v>
                </c:pt>
                <c:pt idx="32">
                  <c:v>45738</c:v>
                </c:pt>
                <c:pt idx="33">
                  <c:v>45739</c:v>
                </c:pt>
                <c:pt idx="34">
                  <c:v>45740</c:v>
                </c:pt>
                <c:pt idx="35">
                  <c:v>45741</c:v>
                </c:pt>
                <c:pt idx="36">
                  <c:v>45742</c:v>
                </c:pt>
                <c:pt idx="37">
                  <c:v>45743</c:v>
                </c:pt>
                <c:pt idx="38">
                  <c:v>45744</c:v>
                </c:pt>
                <c:pt idx="39">
                  <c:v>45745</c:v>
                </c:pt>
                <c:pt idx="40">
                  <c:v>45746</c:v>
                </c:pt>
                <c:pt idx="41">
                  <c:v>45747</c:v>
                </c:pt>
                <c:pt idx="42">
                  <c:v>45748</c:v>
                </c:pt>
                <c:pt idx="43">
                  <c:v>45749</c:v>
                </c:pt>
                <c:pt idx="44">
                  <c:v>45750</c:v>
                </c:pt>
                <c:pt idx="45">
                  <c:v>45751</c:v>
                </c:pt>
                <c:pt idx="46">
                  <c:v>45752</c:v>
                </c:pt>
                <c:pt idx="47">
                  <c:v>45753</c:v>
                </c:pt>
                <c:pt idx="48">
                  <c:v>45754</c:v>
                </c:pt>
                <c:pt idx="49">
                  <c:v>45755</c:v>
                </c:pt>
                <c:pt idx="50">
                  <c:v>45756</c:v>
                </c:pt>
                <c:pt idx="51">
                  <c:v>45757</c:v>
                </c:pt>
                <c:pt idx="52">
                  <c:v>45758</c:v>
                </c:pt>
                <c:pt idx="53">
                  <c:v>45759</c:v>
                </c:pt>
                <c:pt idx="54">
                  <c:v>45760</c:v>
                </c:pt>
                <c:pt idx="55">
                  <c:v>45761</c:v>
                </c:pt>
                <c:pt idx="56">
                  <c:v>45762</c:v>
                </c:pt>
                <c:pt idx="57">
                  <c:v>45763</c:v>
                </c:pt>
                <c:pt idx="58">
                  <c:v>45764</c:v>
                </c:pt>
                <c:pt idx="59">
                  <c:v>45765</c:v>
                </c:pt>
                <c:pt idx="60">
                  <c:v>45766</c:v>
                </c:pt>
                <c:pt idx="61">
                  <c:v>45767</c:v>
                </c:pt>
                <c:pt idx="62">
                  <c:v>45768</c:v>
                </c:pt>
                <c:pt idx="63">
                  <c:v>45769</c:v>
                </c:pt>
                <c:pt idx="64">
                  <c:v>45770</c:v>
                </c:pt>
                <c:pt idx="65">
                  <c:v>45771</c:v>
                </c:pt>
                <c:pt idx="66">
                  <c:v>45772</c:v>
                </c:pt>
                <c:pt idx="67">
                  <c:v>45773</c:v>
                </c:pt>
                <c:pt idx="68">
                  <c:v>45774</c:v>
                </c:pt>
                <c:pt idx="69">
                  <c:v>45775</c:v>
                </c:pt>
                <c:pt idx="70">
                  <c:v>45776</c:v>
                </c:pt>
                <c:pt idx="71">
                  <c:v>45777</c:v>
                </c:pt>
                <c:pt idx="72">
                  <c:v>45778</c:v>
                </c:pt>
                <c:pt idx="73">
                  <c:v>45779</c:v>
                </c:pt>
                <c:pt idx="74">
                  <c:v>45780</c:v>
                </c:pt>
                <c:pt idx="75">
                  <c:v>45781</c:v>
                </c:pt>
                <c:pt idx="76">
                  <c:v>45782</c:v>
                </c:pt>
                <c:pt idx="77">
                  <c:v>45783</c:v>
                </c:pt>
                <c:pt idx="78">
                  <c:v>45784</c:v>
                </c:pt>
                <c:pt idx="79">
                  <c:v>45785</c:v>
                </c:pt>
                <c:pt idx="80">
                  <c:v>45786</c:v>
                </c:pt>
                <c:pt idx="81">
                  <c:v>45787</c:v>
                </c:pt>
                <c:pt idx="82">
                  <c:v>45788</c:v>
                </c:pt>
                <c:pt idx="83">
                  <c:v>45789</c:v>
                </c:pt>
                <c:pt idx="84">
                  <c:v>45790</c:v>
                </c:pt>
                <c:pt idx="85">
                  <c:v>45791</c:v>
                </c:pt>
                <c:pt idx="86">
                  <c:v>45792</c:v>
                </c:pt>
                <c:pt idx="87">
                  <c:v>45793</c:v>
                </c:pt>
                <c:pt idx="88">
                  <c:v>45794</c:v>
                </c:pt>
                <c:pt idx="89">
                  <c:v>45795</c:v>
                </c:pt>
                <c:pt idx="90">
                  <c:v>45796</c:v>
                </c:pt>
                <c:pt idx="91">
                  <c:v>45797</c:v>
                </c:pt>
                <c:pt idx="92">
                  <c:v>45798</c:v>
                </c:pt>
                <c:pt idx="93">
                  <c:v>45799</c:v>
                </c:pt>
                <c:pt idx="94">
                  <c:v>45800</c:v>
                </c:pt>
                <c:pt idx="95">
                  <c:v>45801</c:v>
                </c:pt>
                <c:pt idx="96">
                  <c:v>45802</c:v>
                </c:pt>
                <c:pt idx="97">
                  <c:v>45803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45808</c:v>
                </c:pt>
                <c:pt idx="103">
                  <c:v>45809</c:v>
                </c:pt>
                <c:pt idx="104">
                  <c:v>45810</c:v>
                </c:pt>
                <c:pt idx="105">
                  <c:v>45811</c:v>
                </c:pt>
                <c:pt idx="106">
                  <c:v>45812</c:v>
                </c:pt>
                <c:pt idx="107">
                  <c:v>45813</c:v>
                </c:pt>
                <c:pt idx="108">
                  <c:v>45814</c:v>
                </c:pt>
                <c:pt idx="109">
                  <c:v>45815</c:v>
                </c:pt>
                <c:pt idx="110">
                  <c:v>45816</c:v>
                </c:pt>
                <c:pt idx="111">
                  <c:v>45817</c:v>
                </c:pt>
                <c:pt idx="112">
                  <c:v>45818</c:v>
                </c:pt>
                <c:pt idx="113">
                  <c:v>45819</c:v>
                </c:pt>
                <c:pt idx="114">
                  <c:v>45820</c:v>
                </c:pt>
                <c:pt idx="115">
                  <c:v>45821</c:v>
                </c:pt>
                <c:pt idx="116">
                  <c:v>45822</c:v>
                </c:pt>
                <c:pt idx="117">
                  <c:v>45823</c:v>
                </c:pt>
                <c:pt idx="118">
                  <c:v>45824</c:v>
                </c:pt>
                <c:pt idx="119">
                  <c:v>45825</c:v>
                </c:pt>
                <c:pt idx="120">
                  <c:v>45826</c:v>
                </c:pt>
                <c:pt idx="121">
                  <c:v>45827</c:v>
                </c:pt>
                <c:pt idx="122">
                  <c:v>45828</c:v>
                </c:pt>
                <c:pt idx="123">
                  <c:v>45829</c:v>
                </c:pt>
                <c:pt idx="124">
                  <c:v>45830</c:v>
                </c:pt>
                <c:pt idx="125">
                  <c:v>45831</c:v>
                </c:pt>
                <c:pt idx="126">
                  <c:v>45832</c:v>
                </c:pt>
                <c:pt idx="127">
                  <c:v>45833</c:v>
                </c:pt>
                <c:pt idx="128">
                  <c:v>45834</c:v>
                </c:pt>
                <c:pt idx="129">
                  <c:v>45835</c:v>
                </c:pt>
                <c:pt idx="130">
                  <c:v>45836</c:v>
                </c:pt>
                <c:pt idx="131">
                  <c:v>45837</c:v>
                </c:pt>
              </c:numCache>
            </c:numRef>
          </c:xVal>
          <c:yVal>
            <c:numRef>
              <c:f>Sheet1!$R$264:$R$395</c:f>
              <c:numCache>
                <c:formatCode>General</c:formatCode>
                <c:ptCount val="1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0.91999999999999948</c:v>
                </c:pt>
                <c:pt idx="21">
                  <c:v>0.54311688311688167</c:v>
                </c:pt>
                <c:pt idx="22">
                  <c:v>0</c:v>
                </c:pt>
                <c:pt idx="23">
                  <c:v>0.34350649350649348</c:v>
                </c:pt>
                <c:pt idx="24">
                  <c:v>0</c:v>
                </c:pt>
                <c:pt idx="25">
                  <c:v>0.34610389610389608</c:v>
                </c:pt>
                <c:pt idx="26">
                  <c:v>0.34727272727272918</c:v>
                </c:pt>
                <c:pt idx="27">
                  <c:v>0.34311688311688171</c:v>
                </c:pt>
                <c:pt idx="28">
                  <c:v>0</c:v>
                </c:pt>
                <c:pt idx="29">
                  <c:v>3.1168831168826446E-3</c:v>
                </c:pt>
                <c:pt idx="30">
                  <c:v>1.2987012987012987E-3</c:v>
                </c:pt>
                <c:pt idx="31">
                  <c:v>9.3506493506502961E-3</c:v>
                </c:pt>
                <c:pt idx="32">
                  <c:v>1.2467532467532939E-2</c:v>
                </c:pt>
                <c:pt idx="33">
                  <c:v>0.52389610389610342</c:v>
                </c:pt>
                <c:pt idx="34">
                  <c:v>0.1816883116883112</c:v>
                </c:pt>
                <c:pt idx="35">
                  <c:v>0.22792207792208027</c:v>
                </c:pt>
                <c:pt idx="36">
                  <c:v>0.22818181818181441</c:v>
                </c:pt>
                <c:pt idx="37">
                  <c:v>0</c:v>
                </c:pt>
                <c:pt idx="38">
                  <c:v>0</c:v>
                </c:pt>
                <c:pt idx="39">
                  <c:v>0.39038961038961323</c:v>
                </c:pt>
                <c:pt idx="40">
                  <c:v>0.39129870129870037</c:v>
                </c:pt>
                <c:pt idx="41">
                  <c:v>0.18701298701298702</c:v>
                </c:pt>
                <c:pt idx="42">
                  <c:v>0.18428571428571616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0.46194805194804817</c:v>
                </c:pt>
                <c:pt idx="47">
                  <c:v>0.19090909090909092</c:v>
                </c:pt>
                <c:pt idx="48">
                  <c:v>0.19064935064935443</c:v>
                </c:pt>
                <c:pt idx="49">
                  <c:v>0.2320779220779183</c:v>
                </c:pt>
                <c:pt idx="50">
                  <c:v>0.22909090909091098</c:v>
                </c:pt>
                <c:pt idx="51">
                  <c:v>0.22961038961038865</c:v>
                </c:pt>
                <c:pt idx="52">
                  <c:v>0.13025974025973933</c:v>
                </c:pt>
                <c:pt idx="53">
                  <c:v>0</c:v>
                </c:pt>
                <c:pt idx="54">
                  <c:v>0.23103896103896293</c:v>
                </c:pt>
                <c:pt idx="55">
                  <c:v>0</c:v>
                </c:pt>
                <c:pt idx="56">
                  <c:v>0</c:v>
                </c:pt>
                <c:pt idx="57">
                  <c:v>0.87181818181818083</c:v>
                </c:pt>
                <c:pt idx="58">
                  <c:v>0.43103896103896294</c:v>
                </c:pt>
                <c:pt idx="59">
                  <c:v>0.43025974025973929</c:v>
                </c:pt>
                <c:pt idx="60">
                  <c:v>0.43025974025973929</c:v>
                </c:pt>
                <c:pt idx="61">
                  <c:v>0.43168831168831356</c:v>
                </c:pt>
                <c:pt idx="62">
                  <c:v>0.42519480519480235</c:v>
                </c:pt>
                <c:pt idx="63">
                  <c:v>0</c:v>
                </c:pt>
                <c:pt idx="64">
                  <c:v>0.42818181818181911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0.445064935064936</c:v>
                </c:pt>
                <c:pt idx="78">
                  <c:v>0.44519480519480426</c:v>
                </c:pt>
                <c:pt idx="79">
                  <c:v>0.43935064935064838</c:v>
                </c:pt>
                <c:pt idx="80">
                  <c:v>0.4384415584415613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0.45129870129870131</c:v>
                </c:pt>
                <c:pt idx="87">
                  <c:v>0.44233766233766048</c:v>
                </c:pt>
                <c:pt idx="88">
                  <c:v>0</c:v>
                </c:pt>
                <c:pt idx="89">
                  <c:v>0.42532467532467533</c:v>
                </c:pt>
                <c:pt idx="90">
                  <c:v>0</c:v>
                </c:pt>
                <c:pt idx="91">
                  <c:v>0</c:v>
                </c:pt>
                <c:pt idx="92">
                  <c:v>0.42493506493506589</c:v>
                </c:pt>
                <c:pt idx="93">
                  <c:v>0.25935064935065028</c:v>
                </c:pt>
                <c:pt idx="94">
                  <c:v>0.45688311688311595</c:v>
                </c:pt>
                <c:pt idx="95">
                  <c:v>0</c:v>
                </c:pt>
                <c:pt idx="96">
                  <c:v>0.57038961038961133</c:v>
                </c:pt>
                <c:pt idx="97">
                  <c:v>0</c:v>
                </c:pt>
                <c:pt idx="98">
                  <c:v>0.54948051948051757</c:v>
                </c:pt>
                <c:pt idx="99">
                  <c:v>2.3246753246755136E-2</c:v>
                </c:pt>
                <c:pt idx="100">
                  <c:v>0</c:v>
                </c:pt>
                <c:pt idx="101">
                  <c:v>0</c:v>
                </c:pt>
                <c:pt idx="102">
                  <c:v>0.58753246753246469</c:v>
                </c:pt>
                <c:pt idx="103">
                  <c:v>0</c:v>
                </c:pt>
                <c:pt idx="104">
                  <c:v>0</c:v>
                </c:pt>
                <c:pt idx="105">
                  <c:v>0.14753246753247037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0.16441558441558252</c:v>
                </c:pt>
                <c:pt idx="110">
                  <c:v>0</c:v>
                </c:pt>
                <c:pt idx="111">
                  <c:v>0</c:v>
                </c:pt>
                <c:pt idx="112">
                  <c:v>0.5666233766233757</c:v>
                </c:pt>
                <c:pt idx="113">
                  <c:v>0</c:v>
                </c:pt>
                <c:pt idx="114">
                  <c:v>0.58194805194805477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0.37350649350649162</c:v>
                </c:pt>
                <c:pt idx="121">
                  <c:v>0</c:v>
                </c:pt>
                <c:pt idx="122">
                  <c:v>0.44961038961039057</c:v>
                </c:pt>
                <c:pt idx="123">
                  <c:v>0</c:v>
                </c:pt>
                <c:pt idx="124">
                  <c:v>0.60207792207792021</c:v>
                </c:pt>
                <c:pt idx="125">
                  <c:v>0</c:v>
                </c:pt>
                <c:pt idx="126">
                  <c:v>0.60246753246753437</c:v>
                </c:pt>
                <c:pt idx="127">
                  <c:v>0</c:v>
                </c:pt>
                <c:pt idx="128">
                  <c:v>0.54779220779220683</c:v>
                </c:pt>
                <c:pt idx="129">
                  <c:v>0</c:v>
                </c:pt>
                <c:pt idx="130">
                  <c:v>0.24233766233766518</c:v>
                </c:pt>
                <c:pt idx="13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668-40A8-9DA5-BE0BD05C00EA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320220032"/>
        <c:axId val="1320220448"/>
      </c:scatterChart>
      <c:valAx>
        <c:axId val="1320220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日期</a:t>
                </a:r>
              </a:p>
            </c:rich>
          </c:tx>
          <c:layout>
            <c:manualLayout>
              <c:xMode val="edge"/>
              <c:yMode val="edge"/>
              <c:x val="0.1004875602519304"/>
              <c:y val="0.932315111907154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yyyy\-mm\-dd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20220448"/>
        <c:crosses val="autoZero"/>
        <c:crossBetween val="midCat"/>
      </c:valAx>
      <c:valAx>
        <c:axId val="13202204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灌溉水量</a:t>
                </a:r>
                <a:r>
                  <a:rPr lang="en-US" altLang="zh-TW"/>
                  <a:t>(mm/ha)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20220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總用水比較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實際灌溉水量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Sheet1!$S$2</c:f>
              <c:numCache>
                <c:formatCode>0.00</c:formatCode>
                <c:ptCount val="1"/>
                <c:pt idx="0">
                  <c:v>20.765194805194806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37-4AF6-9070-6E1FB1B9EBAA}"/>
            </c:ext>
          </c:extLst>
        </c:ser>
        <c:ser>
          <c:idx val="1"/>
          <c:order val="1"/>
          <c:tx>
            <c:v>模式推估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Sheet1!$T$2</c:f>
              <c:numCache>
                <c:formatCode>General</c:formatCode>
                <c:ptCount val="1"/>
                <c:pt idx="0">
                  <c:v>23.5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37-4AF6-9070-6E1FB1B9E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3250704"/>
        <c:axId val="1773251120"/>
      </c:barChart>
      <c:catAx>
        <c:axId val="1773250704"/>
        <c:scaling>
          <c:orientation val="minMax"/>
        </c:scaling>
        <c:delete val="1"/>
        <c:axPos val="b"/>
        <c:majorTickMark val="none"/>
        <c:minorTickMark val="none"/>
        <c:tickLblPos val="nextTo"/>
        <c:crossAx val="1773251120"/>
        <c:crosses val="autoZero"/>
        <c:auto val="1"/>
        <c:lblAlgn val="ctr"/>
        <c:lblOffset val="100"/>
        <c:noMultiLvlLbl val="0"/>
      </c:catAx>
      <c:valAx>
        <c:axId val="17732511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/>
                  <a:t>灌溉水量</a:t>
                </a:r>
                <a:r>
                  <a:rPr lang="en-US"/>
                  <a:t>(mm/ha)</a:t>
                </a:r>
                <a:endParaRPr lang="zh-TW"/>
              </a:p>
            </c:rich>
          </c:tx>
          <c:layout>
            <c:manualLayout>
              <c:xMode val="edge"/>
              <c:yMode val="edge"/>
              <c:x val="2.2870253348238483E-2"/>
              <c:y val="0.479380667847097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7325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394635</xdr:colOff>
      <xdr:row>1</xdr:row>
      <xdr:rowOff>39343</xdr:rowOff>
    </xdr:from>
    <xdr:to>
      <xdr:col>15</xdr:col>
      <xdr:colOff>255764</xdr:colOff>
      <xdr:row>24</xdr:row>
      <xdr:rowOff>97014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FD040843-DD83-4FD2-91CE-66DB4D37DC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236360</xdr:colOff>
      <xdr:row>1</xdr:row>
      <xdr:rowOff>50975</xdr:rowOff>
    </xdr:from>
    <xdr:to>
      <xdr:col>30</xdr:col>
      <xdr:colOff>84666</xdr:colOff>
      <xdr:row>24</xdr:row>
      <xdr:rowOff>74084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10433E53-1627-4B3D-AA5C-32E2527201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19"/>
  <sheetViews>
    <sheetView tabSelected="1" zoomScale="55" workbookViewId="0">
      <pane ySplit="1" topLeftCell="A382" activePane="bottomLeft" state="frozen"/>
      <selection pane="bottomLeft" activeCell="J405" sqref="J405"/>
    </sheetView>
  </sheetViews>
  <sheetFormatPr defaultRowHeight="14.5"/>
  <cols>
    <col min="1" max="1" width="12" bestFit="1" customWidth="1"/>
    <col min="2" max="3" width="19.3984375" style="4" bestFit="1" customWidth="1"/>
    <col min="4" max="9" width="14.3984375" style="4" bestFit="1" customWidth="1"/>
    <col min="10" max="10" width="18.09765625" style="4" bestFit="1" customWidth="1"/>
    <col min="11" max="11" width="16.8984375" style="6" bestFit="1" customWidth="1"/>
    <col min="12" max="12" width="25.59765625" style="4" bestFit="1" customWidth="1"/>
    <col min="13" max="13" width="20.59765625" style="4" bestFit="1" customWidth="1"/>
    <col min="14" max="14" width="21.296875" bestFit="1" customWidth="1"/>
    <col min="15" max="15" width="24.3984375" bestFit="1" customWidth="1"/>
    <col min="16" max="16" width="19.3984375" style="4" customWidth="1"/>
    <col min="17" max="17" width="23.09765625" style="4" bestFit="1" customWidth="1"/>
    <col min="18" max="18" width="22.3984375" bestFit="1" customWidth="1"/>
    <col min="19" max="19" width="23.296875" bestFit="1" customWidth="1"/>
    <col min="20" max="20" width="11.69921875" bestFit="1" customWidth="1"/>
    <col min="21" max="21" width="10" bestFit="1" customWidth="1"/>
  </cols>
  <sheetData>
    <row r="1" spans="1:22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15</v>
      </c>
      <c r="L1" s="3" t="s">
        <v>10</v>
      </c>
      <c r="M1" s="3" t="s">
        <v>11</v>
      </c>
      <c r="N1" s="7" t="s">
        <v>14</v>
      </c>
      <c r="O1" s="11" t="s">
        <v>16</v>
      </c>
      <c r="P1" s="3" t="s">
        <v>12</v>
      </c>
      <c r="Q1" s="3" t="s">
        <v>13</v>
      </c>
      <c r="R1" s="10" t="s">
        <v>20</v>
      </c>
      <c r="S1" s="9" t="s">
        <v>21</v>
      </c>
      <c r="T1" s="9" t="s">
        <v>17</v>
      </c>
      <c r="U1" s="9" t="s">
        <v>18</v>
      </c>
      <c r="V1" s="9" t="s">
        <v>19</v>
      </c>
    </row>
    <row r="2" spans="1:22">
      <c r="A2" s="2">
        <v>45444</v>
      </c>
      <c r="B2" s="4">
        <v>33.409999999999997</v>
      </c>
      <c r="C2" s="4">
        <v>26.89</v>
      </c>
      <c r="D2" s="4">
        <v>86.009166666666673</v>
      </c>
      <c r="E2" s="4">
        <v>226.08333333333329</v>
      </c>
      <c r="F2" s="4">
        <v>1.1187499999999999</v>
      </c>
      <c r="G2" s="4">
        <v>19.33583333333333</v>
      </c>
      <c r="H2" s="4">
        <v>29.36791666666667</v>
      </c>
      <c r="I2" s="4">
        <v>0</v>
      </c>
      <c r="K2" s="6">
        <v>3</v>
      </c>
      <c r="L2" s="4">
        <v>0</v>
      </c>
      <c r="M2" s="4">
        <v>0</v>
      </c>
      <c r="N2" s="8">
        <v>0</v>
      </c>
      <c r="P2" s="4">
        <v>3</v>
      </c>
      <c r="Q2" s="4">
        <v>96</v>
      </c>
      <c r="R2">
        <f>N2/770</f>
        <v>0</v>
      </c>
      <c r="S2" s="8">
        <f>SUM(N264:N395)/770</f>
        <v>20.765194805194806</v>
      </c>
      <c r="T2">
        <v>23.5</v>
      </c>
      <c r="U2">
        <f>T2*10*V2</f>
        <v>18095</v>
      </c>
      <c r="V2">
        <v>77</v>
      </c>
    </row>
    <row r="3" spans="1:22">
      <c r="A3" s="2">
        <v>45445</v>
      </c>
      <c r="B3" s="4">
        <v>28.35</v>
      </c>
      <c r="C3" s="4">
        <v>22.93</v>
      </c>
      <c r="D3" s="4">
        <v>94.958749999999995</v>
      </c>
      <c r="E3" s="4">
        <v>205.95833333333329</v>
      </c>
      <c r="F3" s="4">
        <v>2.625833333333333</v>
      </c>
      <c r="G3" s="4">
        <v>18.263333333333328</v>
      </c>
      <c r="H3" s="4">
        <v>26.37916666666667</v>
      </c>
      <c r="I3" s="4">
        <v>0</v>
      </c>
      <c r="K3" s="6">
        <v>47.6</v>
      </c>
      <c r="L3" s="4">
        <v>0</v>
      </c>
      <c r="M3" s="4">
        <v>0</v>
      </c>
      <c r="N3" s="8">
        <f t="shared" ref="N2:N65" si="0">Q3-Q2</f>
        <v>0</v>
      </c>
      <c r="P3" s="4">
        <v>47.6</v>
      </c>
      <c r="Q3" s="4">
        <v>96</v>
      </c>
      <c r="R3">
        <f t="shared" ref="R3:R66" si="1">N3/770</f>
        <v>0</v>
      </c>
    </row>
    <row r="4" spans="1:22">
      <c r="A4" s="2">
        <v>45446</v>
      </c>
      <c r="B4" s="4">
        <v>28.13</v>
      </c>
      <c r="C4" s="4">
        <v>22.01</v>
      </c>
      <c r="D4" s="4">
        <v>81.957499999999996</v>
      </c>
      <c r="E4" s="4">
        <v>474.83333333333331</v>
      </c>
      <c r="F4" s="4">
        <v>3.4558333333333331</v>
      </c>
      <c r="G4" s="4">
        <v>8.9041666666666668</v>
      </c>
      <c r="H4" s="4">
        <v>24.78125</v>
      </c>
      <c r="I4" s="4">
        <v>0</v>
      </c>
      <c r="K4" s="6">
        <v>0.2</v>
      </c>
      <c r="L4" s="4">
        <v>0</v>
      </c>
      <c r="M4" s="4">
        <v>0</v>
      </c>
      <c r="N4" s="8">
        <f t="shared" si="0"/>
        <v>0</v>
      </c>
      <c r="P4" s="4">
        <v>0.2</v>
      </c>
      <c r="Q4" s="4">
        <v>96</v>
      </c>
      <c r="R4">
        <f t="shared" si="1"/>
        <v>0</v>
      </c>
    </row>
    <row r="5" spans="1:22">
      <c r="A5" s="2">
        <v>45447</v>
      </c>
      <c r="B5" s="4">
        <v>29.96</v>
      </c>
      <c r="C5" s="4">
        <v>22.01</v>
      </c>
      <c r="D5" s="4">
        <v>83.411666666666676</v>
      </c>
      <c r="E5" s="4">
        <v>292.125</v>
      </c>
      <c r="F5" s="4">
        <v>1.282083333333333</v>
      </c>
      <c r="G5" s="4">
        <v>21.567499999999999</v>
      </c>
      <c r="H5" s="4">
        <v>25.325416666666669</v>
      </c>
      <c r="I5" s="4">
        <v>0</v>
      </c>
      <c r="K5" s="6">
        <v>4.5999999999999996</v>
      </c>
      <c r="L5" s="4">
        <v>0</v>
      </c>
      <c r="M5" s="4">
        <v>0</v>
      </c>
      <c r="N5" s="8">
        <f t="shared" si="0"/>
        <v>0</v>
      </c>
      <c r="P5" s="4">
        <v>4.5999999999999996</v>
      </c>
      <c r="Q5" s="4">
        <v>96</v>
      </c>
      <c r="R5">
        <f t="shared" si="1"/>
        <v>0</v>
      </c>
    </row>
    <row r="6" spans="1:22">
      <c r="A6" s="2">
        <v>45448</v>
      </c>
      <c r="B6" s="4">
        <v>29.45</v>
      </c>
      <c r="C6" s="4">
        <v>23.11</v>
      </c>
      <c r="D6" s="4">
        <v>90.228749999999991</v>
      </c>
      <c r="E6" s="4">
        <v>358.375</v>
      </c>
      <c r="F6" s="4">
        <v>1.14625</v>
      </c>
      <c r="G6" s="4">
        <v>12.17166666666667</v>
      </c>
      <c r="H6" s="4">
        <v>26.31541666666666</v>
      </c>
      <c r="I6" s="4">
        <v>0</v>
      </c>
      <c r="K6" s="6">
        <v>0.60000000000000009</v>
      </c>
      <c r="L6" s="4">
        <v>0</v>
      </c>
      <c r="M6" s="4">
        <v>0</v>
      </c>
      <c r="N6" s="8">
        <f t="shared" si="0"/>
        <v>0</v>
      </c>
      <c r="P6" s="4">
        <v>0.6</v>
      </c>
      <c r="Q6" s="4">
        <v>96</v>
      </c>
      <c r="R6">
        <f t="shared" si="1"/>
        <v>0</v>
      </c>
    </row>
    <row r="7" spans="1:22">
      <c r="A7" s="2">
        <v>45449</v>
      </c>
      <c r="B7" s="4">
        <v>31.9</v>
      </c>
      <c r="C7" s="4">
        <v>23.33</v>
      </c>
      <c r="D7" s="4">
        <v>90.758750000000006</v>
      </c>
      <c r="E7" s="4">
        <v>229.5</v>
      </c>
      <c r="F7" s="4">
        <v>0.86041666666666661</v>
      </c>
      <c r="G7" s="4">
        <v>10.813750000000001</v>
      </c>
      <c r="H7" s="4">
        <v>26.083749999999998</v>
      </c>
      <c r="I7" s="4">
        <v>0</v>
      </c>
      <c r="K7" s="6">
        <v>6.2</v>
      </c>
      <c r="L7" s="4">
        <v>0</v>
      </c>
      <c r="M7" s="4">
        <v>0</v>
      </c>
      <c r="N7" s="8">
        <f t="shared" si="0"/>
        <v>0</v>
      </c>
      <c r="P7" s="4">
        <v>6.2</v>
      </c>
      <c r="Q7" s="4">
        <v>96</v>
      </c>
      <c r="R7">
        <f t="shared" si="1"/>
        <v>0</v>
      </c>
    </row>
    <row r="8" spans="1:22">
      <c r="A8" s="2">
        <v>45450</v>
      </c>
      <c r="B8" s="4">
        <v>29.82</v>
      </c>
      <c r="C8" s="4">
        <v>23.48</v>
      </c>
      <c r="D8" s="4">
        <v>88.89</v>
      </c>
      <c r="E8" s="4">
        <v>575.66666666666663</v>
      </c>
      <c r="F8" s="4">
        <v>2.7475000000000001</v>
      </c>
      <c r="G8" s="4">
        <v>7.5925000000000002</v>
      </c>
      <c r="H8" s="4">
        <v>27.172916666666669</v>
      </c>
      <c r="I8" s="4">
        <v>0</v>
      </c>
      <c r="K8" s="6">
        <v>0</v>
      </c>
      <c r="L8" s="4">
        <v>0</v>
      </c>
      <c r="M8" s="4">
        <v>0</v>
      </c>
      <c r="N8" s="8">
        <f t="shared" si="0"/>
        <v>0</v>
      </c>
      <c r="P8" s="4">
        <v>0</v>
      </c>
      <c r="Q8" s="4">
        <v>96</v>
      </c>
      <c r="R8">
        <f t="shared" si="1"/>
        <v>0</v>
      </c>
    </row>
    <row r="9" spans="1:22">
      <c r="A9" s="2">
        <v>45451</v>
      </c>
      <c r="B9" s="4">
        <v>32.56</v>
      </c>
      <c r="C9" s="4">
        <v>24.4</v>
      </c>
      <c r="D9" s="4">
        <v>83.807500000000005</v>
      </c>
      <c r="E9" s="4">
        <v>569.66666666666663</v>
      </c>
      <c r="F9" s="4">
        <v>1.27125</v>
      </c>
      <c r="G9" s="4">
        <v>14.15666666666667</v>
      </c>
      <c r="H9" s="4">
        <v>29.045416666666672</v>
      </c>
      <c r="I9" s="4">
        <v>0</v>
      </c>
      <c r="K9" s="6">
        <v>0</v>
      </c>
      <c r="L9" s="4">
        <v>0</v>
      </c>
      <c r="M9" s="4">
        <v>0</v>
      </c>
      <c r="N9" s="8">
        <f t="shared" si="0"/>
        <v>0</v>
      </c>
      <c r="P9" s="4">
        <v>0</v>
      </c>
      <c r="Q9" s="4">
        <v>96</v>
      </c>
      <c r="R9">
        <f t="shared" si="1"/>
        <v>0</v>
      </c>
    </row>
    <row r="10" spans="1:22">
      <c r="A10" s="2">
        <v>45452</v>
      </c>
      <c r="B10" s="4">
        <v>33.770000000000003</v>
      </c>
      <c r="C10" s="4">
        <v>25.97</v>
      </c>
      <c r="D10" s="4">
        <v>84.704999999999998</v>
      </c>
      <c r="E10" s="4">
        <v>470.08333333333331</v>
      </c>
      <c r="F10" s="4">
        <v>1.323333333333333</v>
      </c>
      <c r="G10" s="4">
        <v>20.614583333333329</v>
      </c>
      <c r="H10" s="4">
        <v>29.4575</v>
      </c>
      <c r="I10" s="4">
        <v>0</v>
      </c>
      <c r="K10" s="6">
        <v>0.8</v>
      </c>
      <c r="L10" s="4">
        <v>0</v>
      </c>
      <c r="M10" s="4">
        <v>0</v>
      </c>
      <c r="N10" s="8">
        <f t="shared" si="0"/>
        <v>0</v>
      </c>
      <c r="P10" s="4">
        <v>0.8</v>
      </c>
      <c r="Q10" s="4">
        <v>96</v>
      </c>
      <c r="R10">
        <f t="shared" si="1"/>
        <v>0</v>
      </c>
    </row>
    <row r="11" spans="1:22">
      <c r="A11" s="2">
        <v>45453</v>
      </c>
      <c r="B11" s="4">
        <v>32.42</v>
      </c>
      <c r="C11" s="4">
        <v>25.82</v>
      </c>
      <c r="D11" s="4">
        <v>85.568750000000009</v>
      </c>
      <c r="E11" s="4">
        <v>381.16666666666669</v>
      </c>
      <c r="F11" s="4">
        <v>2.0387499999999998</v>
      </c>
      <c r="G11" s="4">
        <v>19.0075</v>
      </c>
      <c r="H11" s="4">
        <v>29.05833333333333</v>
      </c>
      <c r="I11" s="4">
        <v>0</v>
      </c>
      <c r="K11" s="6">
        <v>8.4</v>
      </c>
      <c r="L11" s="4">
        <v>0</v>
      </c>
      <c r="M11" s="4">
        <v>0</v>
      </c>
      <c r="N11" s="8">
        <f t="shared" si="0"/>
        <v>0</v>
      </c>
      <c r="P11" s="4">
        <v>8.4</v>
      </c>
      <c r="Q11" s="4">
        <v>96</v>
      </c>
      <c r="R11">
        <f t="shared" si="1"/>
        <v>0</v>
      </c>
    </row>
    <row r="12" spans="1:22">
      <c r="A12" s="2">
        <v>45454</v>
      </c>
      <c r="B12" s="4">
        <v>32.31</v>
      </c>
      <c r="C12" s="4">
        <v>25.68</v>
      </c>
      <c r="D12" s="4">
        <v>86.950416666666669</v>
      </c>
      <c r="E12" s="4">
        <v>466.16666666666669</v>
      </c>
      <c r="F12" s="4">
        <v>2.9954166666666668</v>
      </c>
      <c r="G12" s="4">
        <v>19.231249999999999</v>
      </c>
      <c r="H12" s="4">
        <v>28.791250000000002</v>
      </c>
      <c r="I12" s="4">
        <v>0</v>
      </c>
      <c r="K12" s="6">
        <v>14.2</v>
      </c>
      <c r="L12" s="4">
        <v>0</v>
      </c>
      <c r="M12" s="4">
        <v>0</v>
      </c>
      <c r="N12" s="8">
        <f t="shared" si="0"/>
        <v>0</v>
      </c>
      <c r="P12" s="4">
        <v>14.2</v>
      </c>
      <c r="Q12" s="4">
        <v>96</v>
      </c>
      <c r="R12">
        <f t="shared" si="1"/>
        <v>0</v>
      </c>
    </row>
    <row r="13" spans="1:22">
      <c r="A13" s="2">
        <v>45455</v>
      </c>
      <c r="B13" s="4">
        <v>32.450000000000003</v>
      </c>
      <c r="C13" s="4">
        <v>26.37</v>
      </c>
      <c r="D13" s="4">
        <v>86.361666666666665</v>
      </c>
      <c r="E13" s="4">
        <v>569.58333333333337</v>
      </c>
      <c r="F13" s="4">
        <v>2.4474999999999998</v>
      </c>
      <c r="G13" s="4">
        <v>19.454583333333328</v>
      </c>
      <c r="H13" s="4">
        <v>29.372916666666669</v>
      </c>
      <c r="I13" s="4">
        <v>0</v>
      </c>
      <c r="K13" s="6">
        <v>8</v>
      </c>
      <c r="L13" s="4">
        <v>0</v>
      </c>
      <c r="M13" s="4">
        <v>0</v>
      </c>
      <c r="N13" s="8">
        <f t="shared" si="0"/>
        <v>0</v>
      </c>
      <c r="P13" s="4">
        <v>8</v>
      </c>
      <c r="Q13" s="4">
        <v>96</v>
      </c>
      <c r="R13">
        <f t="shared" si="1"/>
        <v>0</v>
      </c>
    </row>
    <row r="14" spans="1:22">
      <c r="A14" s="2">
        <v>45456</v>
      </c>
      <c r="B14" s="4">
        <v>32.31</v>
      </c>
      <c r="C14" s="4">
        <v>25.57</v>
      </c>
      <c r="D14" s="4">
        <v>87.417500000000004</v>
      </c>
      <c r="E14" s="4">
        <v>386.5</v>
      </c>
      <c r="F14" s="4">
        <v>2.5150000000000001</v>
      </c>
      <c r="G14" s="4">
        <v>19.95333333333333</v>
      </c>
      <c r="H14" s="4">
        <v>28.748750000000001</v>
      </c>
      <c r="I14" s="4">
        <v>0</v>
      </c>
      <c r="K14" s="6">
        <v>16</v>
      </c>
      <c r="L14" s="4">
        <v>0</v>
      </c>
      <c r="M14" s="4">
        <v>0</v>
      </c>
      <c r="N14" s="8">
        <f t="shared" si="0"/>
        <v>0</v>
      </c>
      <c r="P14" s="4">
        <v>16</v>
      </c>
      <c r="Q14" s="4">
        <v>96</v>
      </c>
      <c r="R14">
        <f t="shared" si="1"/>
        <v>0</v>
      </c>
    </row>
    <row r="15" spans="1:22">
      <c r="A15" s="2">
        <v>45457</v>
      </c>
      <c r="B15" s="4">
        <v>32.97</v>
      </c>
      <c r="C15" s="4">
        <v>25.82</v>
      </c>
      <c r="D15" s="4">
        <v>86.514583333333334</v>
      </c>
      <c r="E15" s="4">
        <v>544.83333333333337</v>
      </c>
      <c r="F15" s="4">
        <v>2.67875</v>
      </c>
      <c r="G15" s="4">
        <v>19.142916666666672</v>
      </c>
      <c r="H15" s="4">
        <v>29.489583333333329</v>
      </c>
      <c r="I15" s="4">
        <v>0</v>
      </c>
      <c r="K15" s="6">
        <v>6.2</v>
      </c>
      <c r="L15" s="4">
        <v>0</v>
      </c>
      <c r="M15" s="4">
        <v>0</v>
      </c>
      <c r="N15" s="8">
        <f t="shared" si="0"/>
        <v>0</v>
      </c>
      <c r="P15" s="4">
        <v>5.8</v>
      </c>
      <c r="Q15" s="4">
        <v>96</v>
      </c>
      <c r="R15">
        <f t="shared" si="1"/>
        <v>0</v>
      </c>
    </row>
    <row r="16" spans="1:22">
      <c r="A16" s="2">
        <v>45458</v>
      </c>
      <c r="B16" s="4">
        <v>34.799999999999997</v>
      </c>
      <c r="C16" s="4">
        <v>26.63</v>
      </c>
      <c r="D16" s="4">
        <v>82.007083333333341</v>
      </c>
      <c r="E16" s="4">
        <v>758.41666666666663</v>
      </c>
      <c r="F16" s="4">
        <v>2.4104166666666669</v>
      </c>
      <c r="G16" s="4">
        <v>21.74208333333333</v>
      </c>
      <c r="H16" s="4">
        <v>31.022500000000001</v>
      </c>
      <c r="I16" s="4">
        <v>0</v>
      </c>
      <c r="K16" s="6">
        <v>1</v>
      </c>
      <c r="L16" s="4">
        <v>0</v>
      </c>
      <c r="M16" s="4">
        <v>0</v>
      </c>
      <c r="N16" s="8">
        <f t="shared" si="0"/>
        <v>0</v>
      </c>
      <c r="P16" s="4">
        <v>0.8</v>
      </c>
      <c r="Q16" s="4">
        <v>96</v>
      </c>
      <c r="R16">
        <f t="shared" si="1"/>
        <v>0</v>
      </c>
    </row>
    <row r="17" spans="1:18">
      <c r="A17" s="2">
        <v>45459</v>
      </c>
      <c r="B17" s="4">
        <v>34.4</v>
      </c>
      <c r="C17" s="4">
        <v>27</v>
      </c>
      <c r="D17" s="4">
        <v>82.937916666666666</v>
      </c>
      <c r="E17" s="4">
        <v>536</v>
      </c>
      <c r="F17" s="4">
        <v>2.3170833333333332</v>
      </c>
      <c r="G17" s="4">
        <v>20.814583333333331</v>
      </c>
      <c r="H17" s="4">
        <v>30.677499999999998</v>
      </c>
      <c r="I17" s="4">
        <v>0</v>
      </c>
      <c r="K17" s="6">
        <v>0.2</v>
      </c>
      <c r="L17" s="4">
        <v>0</v>
      </c>
      <c r="M17" s="4">
        <v>0</v>
      </c>
      <c r="N17" s="8">
        <f t="shared" si="0"/>
        <v>0</v>
      </c>
      <c r="P17" s="4">
        <v>0.2</v>
      </c>
      <c r="Q17" s="4">
        <v>96</v>
      </c>
      <c r="R17">
        <f t="shared" si="1"/>
        <v>0</v>
      </c>
    </row>
    <row r="18" spans="1:18">
      <c r="A18" s="2">
        <v>45460</v>
      </c>
      <c r="B18" s="4">
        <v>33.74</v>
      </c>
      <c r="C18" s="4">
        <v>27.73</v>
      </c>
      <c r="D18" s="4">
        <v>82.292083333333338</v>
      </c>
      <c r="E18" s="4">
        <v>522.625</v>
      </c>
      <c r="F18" s="4">
        <v>2.117916666666666</v>
      </c>
      <c r="G18" s="4">
        <v>21.096666666666671</v>
      </c>
      <c r="H18" s="4">
        <v>30.90958333333333</v>
      </c>
      <c r="I18" s="4">
        <v>0</v>
      </c>
      <c r="K18" s="6">
        <v>1</v>
      </c>
      <c r="L18" s="4">
        <v>0</v>
      </c>
      <c r="M18" s="4">
        <v>0</v>
      </c>
      <c r="N18" s="8">
        <f t="shared" si="0"/>
        <v>0</v>
      </c>
      <c r="P18" s="4">
        <v>1</v>
      </c>
      <c r="Q18" s="4">
        <v>96</v>
      </c>
      <c r="R18">
        <f t="shared" si="1"/>
        <v>0</v>
      </c>
    </row>
    <row r="19" spans="1:18">
      <c r="A19" s="2">
        <v>45461</v>
      </c>
      <c r="B19" s="4">
        <v>35.130000000000003</v>
      </c>
      <c r="C19" s="4">
        <v>27</v>
      </c>
      <c r="D19" s="4">
        <v>83.302499999999995</v>
      </c>
      <c r="E19" s="4">
        <v>598.83333333333337</v>
      </c>
      <c r="F19" s="4">
        <v>1.923333333333334</v>
      </c>
      <c r="G19" s="4">
        <v>20.56666666666667</v>
      </c>
      <c r="H19" s="4">
        <v>30.75375</v>
      </c>
      <c r="I19" s="4">
        <v>0</v>
      </c>
      <c r="K19" s="6">
        <v>0.4</v>
      </c>
      <c r="L19" s="4">
        <v>0</v>
      </c>
      <c r="M19" s="4">
        <v>0</v>
      </c>
      <c r="N19" s="8">
        <f t="shared" si="0"/>
        <v>0</v>
      </c>
      <c r="P19" s="4">
        <v>0.4</v>
      </c>
      <c r="Q19" s="4">
        <v>96</v>
      </c>
      <c r="R19">
        <f t="shared" si="1"/>
        <v>0</v>
      </c>
    </row>
    <row r="20" spans="1:18">
      <c r="A20" s="2">
        <v>45462</v>
      </c>
      <c r="B20" s="4">
        <v>33.770000000000003</v>
      </c>
      <c r="C20" s="4">
        <v>26.78</v>
      </c>
      <c r="D20" s="4">
        <v>82.284166666666664</v>
      </c>
      <c r="E20" s="4">
        <v>542.33333333333337</v>
      </c>
      <c r="F20" s="4">
        <v>1.82375</v>
      </c>
      <c r="G20" s="4">
        <v>21.2425</v>
      </c>
      <c r="H20" s="4">
        <v>32.672499999999999</v>
      </c>
      <c r="I20" s="4">
        <v>6.5645833333333341</v>
      </c>
      <c r="J20" s="4">
        <v>3.266666666666667E-2</v>
      </c>
      <c r="K20" s="6">
        <v>1.8</v>
      </c>
      <c r="L20" s="4">
        <v>0</v>
      </c>
      <c r="M20" s="4">
        <v>0</v>
      </c>
      <c r="N20" s="8">
        <f t="shared" si="0"/>
        <v>0</v>
      </c>
      <c r="P20" s="4">
        <v>1.8</v>
      </c>
      <c r="Q20" s="4">
        <v>96</v>
      </c>
      <c r="R20">
        <f t="shared" si="1"/>
        <v>0</v>
      </c>
    </row>
    <row r="21" spans="1:18">
      <c r="A21" s="2">
        <v>45463</v>
      </c>
      <c r="B21" s="4">
        <v>34.799999999999997</v>
      </c>
      <c r="C21" s="4">
        <v>26.74</v>
      </c>
      <c r="D21" s="4">
        <v>80.008750000000006</v>
      </c>
      <c r="E21" s="4">
        <v>580.25</v>
      </c>
      <c r="F21" s="4">
        <v>2.1020833333333329</v>
      </c>
      <c r="G21" s="4">
        <v>21.594999999999999</v>
      </c>
      <c r="H21" s="4">
        <v>33.835833333333333</v>
      </c>
      <c r="I21" s="4">
        <v>12.797499999999999</v>
      </c>
      <c r="J21" s="4">
        <v>3.1708333333333331E-2</v>
      </c>
      <c r="K21" s="6">
        <v>0.8</v>
      </c>
      <c r="L21" s="4">
        <v>0</v>
      </c>
      <c r="M21" s="4">
        <v>0</v>
      </c>
      <c r="N21" s="8">
        <f t="shared" si="0"/>
        <v>0</v>
      </c>
      <c r="P21" s="4">
        <v>0.8</v>
      </c>
      <c r="Q21" s="4">
        <v>96</v>
      </c>
      <c r="R21">
        <f t="shared" si="1"/>
        <v>0</v>
      </c>
    </row>
    <row r="22" spans="1:18">
      <c r="A22" s="2">
        <v>45464</v>
      </c>
      <c r="B22" s="4">
        <v>35.200000000000003</v>
      </c>
      <c r="C22" s="4">
        <v>27.44</v>
      </c>
      <c r="D22" s="4">
        <v>80.612916666666663</v>
      </c>
      <c r="E22" s="4">
        <v>591.875</v>
      </c>
      <c r="F22" s="4">
        <v>2.1766666666666672</v>
      </c>
      <c r="G22" s="4">
        <v>21.556666666666668</v>
      </c>
      <c r="H22" s="4">
        <v>37.664166666666667</v>
      </c>
      <c r="I22" s="4">
        <v>4.6825000000000001</v>
      </c>
      <c r="J22" s="4">
        <v>1.220833333333333E-2</v>
      </c>
      <c r="K22" s="6">
        <v>0.4</v>
      </c>
      <c r="L22" s="4">
        <v>0</v>
      </c>
      <c r="M22" s="4">
        <v>0</v>
      </c>
      <c r="N22" s="8">
        <f t="shared" si="0"/>
        <v>0</v>
      </c>
      <c r="P22" s="4">
        <v>0.4</v>
      </c>
      <c r="Q22" s="4">
        <v>96</v>
      </c>
      <c r="R22">
        <f t="shared" si="1"/>
        <v>0</v>
      </c>
    </row>
    <row r="23" spans="1:18">
      <c r="A23" s="2">
        <v>45465</v>
      </c>
      <c r="B23" s="4">
        <v>35.380000000000003</v>
      </c>
      <c r="C23" s="4">
        <v>27.95</v>
      </c>
      <c r="D23" s="4">
        <v>80.622916666666669</v>
      </c>
      <c r="E23" s="4">
        <v>573.58333333333337</v>
      </c>
      <c r="F23" s="4">
        <v>2.969583333333333</v>
      </c>
      <c r="G23" s="4">
        <v>21.795416666666672</v>
      </c>
      <c r="H23" s="4">
        <v>39.442083333333343</v>
      </c>
      <c r="I23" s="4">
        <v>0</v>
      </c>
      <c r="J23" s="4">
        <v>0</v>
      </c>
      <c r="K23" s="6">
        <v>1.8</v>
      </c>
      <c r="L23" s="4">
        <v>0</v>
      </c>
      <c r="M23" s="4">
        <v>0</v>
      </c>
      <c r="N23" s="8">
        <f t="shared" si="0"/>
        <v>0</v>
      </c>
      <c r="P23" s="4">
        <v>1.8</v>
      </c>
      <c r="Q23" s="4">
        <v>96</v>
      </c>
      <c r="R23">
        <f t="shared" si="1"/>
        <v>0</v>
      </c>
    </row>
    <row r="24" spans="1:18">
      <c r="A24" s="2">
        <v>45466</v>
      </c>
      <c r="B24" s="4">
        <v>35.71</v>
      </c>
      <c r="C24" s="4">
        <v>28.57</v>
      </c>
      <c r="D24" s="4">
        <v>78.826250000000002</v>
      </c>
      <c r="E24" s="4">
        <v>703.66666666666663</v>
      </c>
      <c r="F24" s="4">
        <v>2.6941666666666659</v>
      </c>
      <c r="G24" s="4">
        <v>20.27375</v>
      </c>
      <c r="H24" s="4">
        <v>40.012916666666662</v>
      </c>
      <c r="I24" s="4">
        <v>0</v>
      </c>
      <c r="J24" s="4">
        <v>0</v>
      </c>
      <c r="K24" s="6">
        <v>0.60000000000000009</v>
      </c>
      <c r="L24" s="4">
        <v>0</v>
      </c>
      <c r="M24" s="4">
        <v>0</v>
      </c>
      <c r="N24" s="8">
        <f t="shared" si="0"/>
        <v>0</v>
      </c>
      <c r="P24" s="4">
        <v>0.6</v>
      </c>
      <c r="Q24" s="4">
        <v>96</v>
      </c>
      <c r="R24">
        <f t="shared" si="1"/>
        <v>0</v>
      </c>
    </row>
    <row r="25" spans="1:18">
      <c r="A25" s="2">
        <v>45467</v>
      </c>
      <c r="B25" s="4">
        <v>35.46</v>
      </c>
      <c r="C25" s="4">
        <v>27.4</v>
      </c>
      <c r="D25" s="4">
        <v>78.870833333333337</v>
      </c>
      <c r="E25" s="4">
        <v>599.91666666666663</v>
      </c>
      <c r="F25" s="4">
        <v>2.1204166666666668</v>
      </c>
      <c r="G25" s="4">
        <v>20.137499999999999</v>
      </c>
      <c r="H25" s="4">
        <v>40.032083333333333</v>
      </c>
      <c r="I25" s="4">
        <v>0</v>
      </c>
      <c r="J25" s="4">
        <v>0</v>
      </c>
      <c r="K25" s="6">
        <v>2.6</v>
      </c>
      <c r="L25" s="4">
        <v>0</v>
      </c>
      <c r="M25" s="4">
        <v>0</v>
      </c>
      <c r="N25" s="8">
        <f t="shared" si="0"/>
        <v>0</v>
      </c>
      <c r="P25" s="4">
        <v>2.6</v>
      </c>
      <c r="Q25" s="4">
        <v>96</v>
      </c>
      <c r="R25">
        <f t="shared" si="1"/>
        <v>0</v>
      </c>
    </row>
    <row r="26" spans="1:18">
      <c r="A26" s="2">
        <v>45468</v>
      </c>
      <c r="B26" s="4">
        <v>35.35</v>
      </c>
      <c r="C26" s="4">
        <v>25.57</v>
      </c>
      <c r="D26" s="4">
        <v>82.35208333333334</v>
      </c>
      <c r="E26" s="4">
        <v>594.08333333333337</v>
      </c>
      <c r="F26" s="4">
        <v>1.887083333333333</v>
      </c>
      <c r="G26" s="4">
        <v>16.420416666666661</v>
      </c>
      <c r="H26" s="4">
        <v>33.64875</v>
      </c>
      <c r="I26" s="4">
        <v>0</v>
      </c>
      <c r="J26" s="4">
        <v>0</v>
      </c>
      <c r="K26" s="6">
        <v>2.8</v>
      </c>
      <c r="L26" s="4">
        <v>0</v>
      </c>
      <c r="M26" s="4">
        <v>0</v>
      </c>
      <c r="N26" s="8">
        <f t="shared" si="0"/>
        <v>0</v>
      </c>
      <c r="P26" s="4">
        <v>2.8</v>
      </c>
      <c r="Q26" s="4">
        <v>96</v>
      </c>
      <c r="R26">
        <f t="shared" si="1"/>
        <v>0</v>
      </c>
    </row>
    <row r="27" spans="1:18">
      <c r="A27" s="2">
        <v>45469</v>
      </c>
      <c r="B27" s="4">
        <v>35.82</v>
      </c>
      <c r="C27" s="4">
        <v>26.01</v>
      </c>
      <c r="D27" s="4">
        <v>78.976666666666674</v>
      </c>
      <c r="E27" s="4">
        <v>578.20833333333337</v>
      </c>
      <c r="F27" s="4">
        <v>1.9816666666666669</v>
      </c>
      <c r="G27" s="4">
        <v>13.37333333333333</v>
      </c>
      <c r="H27" s="4">
        <v>33.787916666666668</v>
      </c>
      <c r="I27" s="4">
        <v>0</v>
      </c>
      <c r="J27" s="4">
        <v>0</v>
      </c>
      <c r="K27" s="6">
        <v>0.60000000000000009</v>
      </c>
      <c r="L27" s="4">
        <v>0</v>
      </c>
      <c r="M27" s="4">
        <v>0</v>
      </c>
      <c r="N27" s="8">
        <f t="shared" si="0"/>
        <v>0</v>
      </c>
      <c r="P27" s="4">
        <v>0.6</v>
      </c>
      <c r="Q27" s="4">
        <v>96</v>
      </c>
      <c r="R27">
        <f t="shared" si="1"/>
        <v>0</v>
      </c>
    </row>
    <row r="28" spans="1:18">
      <c r="A28" s="2">
        <v>45470</v>
      </c>
      <c r="B28" s="4">
        <v>36.229999999999997</v>
      </c>
      <c r="C28" s="4">
        <v>26.89</v>
      </c>
      <c r="D28" s="4">
        <v>74.77791666666667</v>
      </c>
      <c r="E28" s="4">
        <v>661.45833333333337</v>
      </c>
      <c r="F28" s="4">
        <v>1.957916666666667</v>
      </c>
      <c r="G28" s="4">
        <v>15.15958333333333</v>
      </c>
      <c r="H28" s="4">
        <v>33.672916666666673</v>
      </c>
      <c r="I28" s="4">
        <v>0</v>
      </c>
      <c r="J28" s="4">
        <v>0</v>
      </c>
      <c r="K28" s="6">
        <v>1</v>
      </c>
      <c r="L28" s="4">
        <v>0</v>
      </c>
      <c r="M28" s="4">
        <v>0</v>
      </c>
      <c r="N28" s="8">
        <f t="shared" si="0"/>
        <v>0</v>
      </c>
      <c r="P28" s="4">
        <v>1</v>
      </c>
      <c r="Q28" s="4">
        <v>96</v>
      </c>
      <c r="R28">
        <f t="shared" si="1"/>
        <v>0</v>
      </c>
    </row>
    <row r="29" spans="1:18">
      <c r="A29" s="2">
        <v>45471</v>
      </c>
      <c r="B29" s="4">
        <v>36.630000000000003</v>
      </c>
      <c r="C29" s="4">
        <v>27.03</v>
      </c>
      <c r="D29" s="4">
        <v>74.594999999999999</v>
      </c>
      <c r="E29" s="4">
        <v>683.66666666666663</v>
      </c>
      <c r="F29" s="4">
        <v>2.4537499999999999</v>
      </c>
      <c r="G29" s="4">
        <v>20.365416666666661</v>
      </c>
      <c r="H29" s="4">
        <v>34.040416666666673</v>
      </c>
      <c r="I29" s="4">
        <v>0</v>
      </c>
      <c r="J29" s="4">
        <v>0</v>
      </c>
      <c r="K29" s="6">
        <v>0.4</v>
      </c>
      <c r="L29" s="4">
        <v>0</v>
      </c>
      <c r="M29" s="4">
        <v>0</v>
      </c>
      <c r="N29" s="8">
        <f t="shared" si="0"/>
        <v>0</v>
      </c>
      <c r="P29" s="4">
        <v>0.4</v>
      </c>
      <c r="Q29" s="4">
        <v>96</v>
      </c>
      <c r="R29">
        <f t="shared" si="1"/>
        <v>0</v>
      </c>
    </row>
    <row r="30" spans="1:18">
      <c r="A30" s="2">
        <v>45472</v>
      </c>
      <c r="B30" s="4">
        <v>36.19</v>
      </c>
      <c r="C30" s="4">
        <v>26.45</v>
      </c>
      <c r="D30" s="4">
        <v>75.740833333333327</v>
      </c>
      <c r="E30" s="4">
        <v>656.70833333333337</v>
      </c>
      <c r="F30" s="4">
        <v>3.586666666666666</v>
      </c>
      <c r="G30" s="4">
        <v>19.305</v>
      </c>
      <c r="H30" s="4">
        <v>33.010416666666657</v>
      </c>
      <c r="I30" s="4">
        <v>0</v>
      </c>
      <c r="J30" s="4">
        <v>0</v>
      </c>
      <c r="K30" s="6">
        <v>3.4</v>
      </c>
      <c r="L30" s="4">
        <v>0</v>
      </c>
      <c r="M30" s="4">
        <v>0</v>
      </c>
      <c r="N30" s="8">
        <f t="shared" si="0"/>
        <v>0</v>
      </c>
      <c r="P30" s="4">
        <v>3.4</v>
      </c>
      <c r="Q30" s="4">
        <v>96</v>
      </c>
      <c r="R30">
        <f t="shared" si="1"/>
        <v>0</v>
      </c>
    </row>
    <row r="31" spans="1:18">
      <c r="A31" s="2">
        <v>45473</v>
      </c>
      <c r="B31" s="4">
        <v>35.200000000000003</v>
      </c>
      <c r="C31" s="4">
        <v>27.36</v>
      </c>
      <c r="D31" s="4">
        <v>77.77</v>
      </c>
      <c r="E31" s="4">
        <v>645.70833333333337</v>
      </c>
      <c r="F31" s="4">
        <v>2.470416666666666</v>
      </c>
      <c r="G31" s="4">
        <v>21.389583333333331</v>
      </c>
      <c r="H31" s="4">
        <v>32.607083333333343</v>
      </c>
      <c r="I31" s="4">
        <v>0</v>
      </c>
      <c r="J31" s="4">
        <v>0</v>
      </c>
      <c r="K31" s="6">
        <v>0.8</v>
      </c>
      <c r="L31" s="4">
        <v>0</v>
      </c>
      <c r="M31" s="4">
        <v>0</v>
      </c>
      <c r="N31" s="8">
        <f t="shared" si="0"/>
        <v>0</v>
      </c>
      <c r="P31" s="4">
        <v>0.8</v>
      </c>
      <c r="Q31" s="4">
        <v>96</v>
      </c>
      <c r="R31">
        <f t="shared" si="1"/>
        <v>0</v>
      </c>
    </row>
    <row r="32" spans="1:18">
      <c r="A32" s="2">
        <v>45474</v>
      </c>
      <c r="B32" s="4">
        <v>35.79</v>
      </c>
      <c r="C32" s="4">
        <v>27.25</v>
      </c>
      <c r="D32" s="4">
        <v>78.900416666666672</v>
      </c>
      <c r="E32" s="4">
        <v>673.58333333333337</v>
      </c>
      <c r="F32" s="4">
        <v>2.847083333333333</v>
      </c>
      <c r="G32" s="4">
        <v>20.943750000000001</v>
      </c>
      <c r="H32" s="4">
        <v>33.782916666666672</v>
      </c>
      <c r="I32" s="4">
        <v>0</v>
      </c>
      <c r="J32" s="4">
        <v>0</v>
      </c>
      <c r="K32" s="6">
        <v>0.2</v>
      </c>
      <c r="L32" s="4">
        <v>0</v>
      </c>
      <c r="M32" s="4">
        <v>0</v>
      </c>
      <c r="N32" s="8">
        <f t="shared" si="0"/>
        <v>0</v>
      </c>
      <c r="P32" s="4">
        <v>0.2</v>
      </c>
      <c r="Q32" s="4">
        <v>96</v>
      </c>
      <c r="R32">
        <f t="shared" si="1"/>
        <v>0</v>
      </c>
    </row>
    <row r="33" spans="1:18">
      <c r="A33" s="2">
        <v>45475</v>
      </c>
      <c r="B33" s="4">
        <v>35.68</v>
      </c>
      <c r="C33" s="4">
        <v>27.51</v>
      </c>
      <c r="D33" s="4">
        <v>78.468333333333334</v>
      </c>
      <c r="E33" s="4">
        <v>703.16666666666663</v>
      </c>
      <c r="F33" s="4">
        <v>2.8112499999999998</v>
      </c>
      <c r="G33" s="4">
        <v>20.232916666666672</v>
      </c>
      <c r="H33" s="4">
        <v>34.133333333333333</v>
      </c>
      <c r="I33" s="4">
        <v>0</v>
      </c>
      <c r="J33" s="4">
        <v>0</v>
      </c>
      <c r="K33" s="6">
        <v>0</v>
      </c>
      <c r="L33" s="4">
        <v>0</v>
      </c>
      <c r="M33" s="4">
        <v>0</v>
      </c>
      <c r="N33" s="8">
        <f t="shared" si="0"/>
        <v>0</v>
      </c>
      <c r="P33" s="4">
        <v>0</v>
      </c>
      <c r="Q33" s="4">
        <v>96</v>
      </c>
      <c r="R33">
        <f t="shared" si="1"/>
        <v>0</v>
      </c>
    </row>
    <row r="34" spans="1:18">
      <c r="A34" s="2">
        <v>45476</v>
      </c>
      <c r="B34" s="4">
        <v>35.86</v>
      </c>
      <c r="C34" s="4">
        <v>25.93</v>
      </c>
      <c r="D34" s="4">
        <v>78.892916666666665</v>
      </c>
      <c r="E34" s="4">
        <v>611.875</v>
      </c>
      <c r="F34" s="4">
        <v>1.701666666666666</v>
      </c>
      <c r="G34" s="4">
        <v>18.143750000000001</v>
      </c>
      <c r="H34" s="4">
        <v>34.155000000000001</v>
      </c>
      <c r="I34" s="4">
        <v>0</v>
      </c>
      <c r="J34" s="4">
        <v>0</v>
      </c>
      <c r="K34" s="6">
        <v>1.2</v>
      </c>
      <c r="L34" s="4">
        <v>0</v>
      </c>
      <c r="M34" s="4">
        <v>0</v>
      </c>
      <c r="N34" s="8">
        <f t="shared" si="0"/>
        <v>0</v>
      </c>
      <c r="P34" s="4">
        <v>1.2</v>
      </c>
      <c r="Q34" s="4">
        <v>96</v>
      </c>
      <c r="R34">
        <f t="shared" si="1"/>
        <v>0</v>
      </c>
    </row>
    <row r="35" spans="1:18">
      <c r="A35" s="2">
        <v>45477</v>
      </c>
      <c r="B35" s="4">
        <v>35.200000000000003</v>
      </c>
      <c r="C35" s="4">
        <v>26.52</v>
      </c>
      <c r="D35" s="4">
        <v>81.872500000000002</v>
      </c>
      <c r="E35" s="4">
        <v>604.58333333333337</v>
      </c>
      <c r="F35" s="4">
        <v>1.604166666666667</v>
      </c>
      <c r="G35" s="4">
        <v>17.514166666666661</v>
      </c>
      <c r="H35" s="4">
        <v>34.146666666666668</v>
      </c>
      <c r="I35" s="4">
        <v>0</v>
      </c>
      <c r="J35" s="4">
        <v>0</v>
      </c>
      <c r="K35" s="6">
        <v>0</v>
      </c>
      <c r="L35" s="4">
        <v>0</v>
      </c>
      <c r="M35" s="4">
        <v>0</v>
      </c>
      <c r="N35" s="8">
        <f t="shared" si="0"/>
        <v>0</v>
      </c>
      <c r="P35" s="4">
        <v>0</v>
      </c>
      <c r="Q35" s="4">
        <v>96</v>
      </c>
      <c r="R35">
        <f t="shared" si="1"/>
        <v>0</v>
      </c>
    </row>
    <row r="36" spans="1:18">
      <c r="A36" s="2">
        <v>45478</v>
      </c>
      <c r="B36" s="4">
        <v>35.380000000000003</v>
      </c>
      <c r="C36" s="4">
        <v>27.25</v>
      </c>
      <c r="D36" s="4">
        <v>80.279166666666669</v>
      </c>
      <c r="E36" s="4">
        <v>585.875</v>
      </c>
      <c r="F36" s="4">
        <v>1.5695833333333331</v>
      </c>
      <c r="G36" s="4">
        <v>20.74625</v>
      </c>
      <c r="H36" s="4">
        <v>34.804583333333333</v>
      </c>
      <c r="I36" s="4">
        <v>0</v>
      </c>
      <c r="J36" s="4">
        <v>0</v>
      </c>
      <c r="K36" s="6">
        <v>0</v>
      </c>
      <c r="L36" s="4">
        <v>0</v>
      </c>
      <c r="M36" s="4">
        <v>0</v>
      </c>
      <c r="N36" s="8">
        <f t="shared" si="0"/>
        <v>0</v>
      </c>
      <c r="P36" s="4">
        <v>0</v>
      </c>
      <c r="Q36" s="4">
        <v>96</v>
      </c>
      <c r="R36">
        <f t="shared" si="1"/>
        <v>0</v>
      </c>
    </row>
    <row r="37" spans="1:18">
      <c r="A37" s="2">
        <v>45479</v>
      </c>
      <c r="B37" s="4">
        <v>35.31</v>
      </c>
      <c r="C37" s="4">
        <v>25.42</v>
      </c>
      <c r="D37" s="4">
        <v>80.767916666666665</v>
      </c>
      <c r="E37" s="4">
        <v>649.54166666666663</v>
      </c>
      <c r="F37" s="4">
        <v>1.727916666666667</v>
      </c>
      <c r="G37" s="4">
        <v>18.244166666666668</v>
      </c>
      <c r="H37" s="4">
        <v>33.459166666666668</v>
      </c>
      <c r="I37" s="4">
        <v>0</v>
      </c>
      <c r="J37" s="4">
        <v>0</v>
      </c>
      <c r="K37" s="6">
        <v>2.2000000000000002</v>
      </c>
      <c r="L37" s="4">
        <v>0</v>
      </c>
      <c r="M37" s="4">
        <v>0</v>
      </c>
      <c r="N37" s="8">
        <f t="shared" si="0"/>
        <v>0</v>
      </c>
      <c r="P37" s="4">
        <v>2.2000000000000002</v>
      </c>
      <c r="Q37" s="4">
        <v>96</v>
      </c>
      <c r="R37">
        <f t="shared" si="1"/>
        <v>0</v>
      </c>
    </row>
    <row r="38" spans="1:18">
      <c r="A38" s="2">
        <v>45480</v>
      </c>
      <c r="B38" s="4">
        <v>35.049999999999997</v>
      </c>
      <c r="C38" s="4">
        <v>24.25</v>
      </c>
      <c r="D38" s="4">
        <v>82.01</v>
      </c>
      <c r="E38" s="4">
        <v>623.04166666666663</v>
      </c>
      <c r="F38" s="4">
        <v>2.0891666666666668</v>
      </c>
      <c r="G38" s="4">
        <v>18.470416666666669</v>
      </c>
      <c r="H38" s="4">
        <v>31.829583333333328</v>
      </c>
      <c r="I38" s="4">
        <v>0</v>
      </c>
      <c r="J38" s="4">
        <v>1.75E-3</v>
      </c>
      <c r="K38" s="6">
        <v>3.4</v>
      </c>
      <c r="L38" s="4">
        <v>0</v>
      </c>
      <c r="M38" s="4">
        <v>0</v>
      </c>
      <c r="N38" s="8">
        <f t="shared" si="0"/>
        <v>0</v>
      </c>
      <c r="P38" s="4">
        <v>3.4</v>
      </c>
      <c r="Q38" s="4">
        <v>96</v>
      </c>
      <c r="R38">
        <f t="shared" si="1"/>
        <v>0</v>
      </c>
    </row>
    <row r="39" spans="1:18">
      <c r="A39" s="2">
        <v>45481</v>
      </c>
      <c r="B39" s="4">
        <v>34.03</v>
      </c>
      <c r="C39" s="4">
        <v>22.27</v>
      </c>
      <c r="D39" s="4">
        <v>83.841250000000002</v>
      </c>
      <c r="E39" s="4">
        <v>589.875</v>
      </c>
      <c r="F39" s="4">
        <v>1.313333333333333</v>
      </c>
      <c r="G39" s="4">
        <v>20.75041666666667</v>
      </c>
      <c r="H39" s="4">
        <v>31.56625</v>
      </c>
      <c r="I39" s="4">
        <v>0</v>
      </c>
      <c r="J39" s="4">
        <v>3.666666666666667E-3</v>
      </c>
      <c r="K39" s="6">
        <v>4.5999999999999996</v>
      </c>
      <c r="L39" s="4">
        <v>0</v>
      </c>
      <c r="M39" s="4">
        <v>0</v>
      </c>
      <c r="N39" s="8">
        <f t="shared" si="0"/>
        <v>0</v>
      </c>
      <c r="P39" s="4">
        <v>4.5999999999999996</v>
      </c>
      <c r="Q39" s="4">
        <v>96</v>
      </c>
      <c r="R39">
        <f t="shared" si="1"/>
        <v>0</v>
      </c>
    </row>
    <row r="40" spans="1:18">
      <c r="A40" s="2">
        <v>45482</v>
      </c>
      <c r="B40" s="4">
        <v>34.4</v>
      </c>
      <c r="C40" s="4">
        <v>23.63</v>
      </c>
      <c r="D40" s="4">
        <v>77.954166666666666</v>
      </c>
      <c r="E40" s="4">
        <v>599.70833333333337</v>
      </c>
      <c r="F40" s="4">
        <v>1.9450000000000001</v>
      </c>
      <c r="G40" s="4">
        <v>17.58583333333333</v>
      </c>
      <c r="H40" s="4">
        <v>34.372916666666669</v>
      </c>
      <c r="I40" s="4">
        <v>0</v>
      </c>
      <c r="J40" s="4">
        <v>3.333333333333334E-3</v>
      </c>
      <c r="K40" s="6">
        <v>0.2</v>
      </c>
      <c r="L40" s="4">
        <v>0</v>
      </c>
      <c r="M40" s="4">
        <v>0</v>
      </c>
      <c r="N40" s="8">
        <f t="shared" si="0"/>
        <v>0</v>
      </c>
      <c r="P40" s="4">
        <v>0.2</v>
      </c>
      <c r="Q40" s="4">
        <v>96</v>
      </c>
      <c r="R40">
        <f t="shared" si="1"/>
        <v>0</v>
      </c>
    </row>
    <row r="41" spans="1:18">
      <c r="A41" s="2">
        <v>45483</v>
      </c>
      <c r="B41" s="4">
        <v>35.31</v>
      </c>
      <c r="C41" s="4">
        <v>26.37</v>
      </c>
      <c r="D41" s="4">
        <v>79.423749999999998</v>
      </c>
      <c r="E41" s="4">
        <v>558.66666666666663</v>
      </c>
      <c r="F41" s="4">
        <v>2.2304166666666672</v>
      </c>
      <c r="G41" s="4">
        <v>18.543333333333329</v>
      </c>
      <c r="H41" s="4">
        <v>34.727499999999999</v>
      </c>
      <c r="I41" s="4">
        <v>0</v>
      </c>
      <c r="J41" s="4">
        <v>0</v>
      </c>
      <c r="K41" s="6">
        <v>0.2</v>
      </c>
      <c r="L41" s="4">
        <v>0</v>
      </c>
      <c r="M41" s="4">
        <v>0</v>
      </c>
      <c r="N41" s="8">
        <f t="shared" si="0"/>
        <v>0</v>
      </c>
      <c r="P41" s="4">
        <v>0.2</v>
      </c>
      <c r="Q41" s="4">
        <v>96</v>
      </c>
      <c r="R41">
        <f t="shared" si="1"/>
        <v>0</v>
      </c>
    </row>
    <row r="42" spans="1:18">
      <c r="A42" s="2">
        <v>45484</v>
      </c>
      <c r="B42" s="4">
        <v>34.799999999999997</v>
      </c>
      <c r="C42" s="4">
        <v>27.25</v>
      </c>
      <c r="D42" s="4">
        <v>79.781666666666666</v>
      </c>
      <c r="E42" s="4">
        <v>753.45833333333337</v>
      </c>
      <c r="F42" s="4">
        <v>2.595416666666666</v>
      </c>
      <c r="G42" s="4">
        <v>20.147916666666671</v>
      </c>
      <c r="H42" s="4">
        <v>35.952083333333327</v>
      </c>
      <c r="I42" s="4">
        <v>0</v>
      </c>
      <c r="J42" s="4">
        <v>0</v>
      </c>
      <c r="K42" s="6">
        <v>0.60000000000000009</v>
      </c>
      <c r="L42" s="4">
        <v>0</v>
      </c>
      <c r="M42" s="4">
        <v>0</v>
      </c>
      <c r="N42" s="8">
        <f t="shared" si="0"/>
        <v>0</v>
      </c>
      <c r="P42" s="4">
        <v>0.6</v>
      </c>
      <c r="Q42" s="4">
        <v>96</v>
      </c>
      <c r="R42">
        <f t="shared" si="1"/>
        <v>0</v>
      </c>
    </row>
    <row r="43" spans="1:18">
      <c r="A43" s="2">
        <v>45485</v>
      </c>
      <c r="B43" s="4">
        <v>35.97</v>
      </c>
      <c r="C43" s="4">
        <v>27.14</v>
      </c>
      <c r="D43" s="4">
        <v>75.828749999999999</v>
      </c>
      <c r="E43" s="4">
        <v>723.875</v>
      </c>
      <c r="F43" s="4">
        <v>2.0420833333333328</v>
      </c>
      <c r="G43" s="4">
        <v>21.151250000000001</v>
      </c>
      <c r="H43" s="4">
        <v>37.557916666666657</v>
      </c>
      <c r="I43" s="4">
        <v>0</v>
      </c>
      <c r="J43" s="4">
        <v>0</v>
      </c>
      <c r="K43" s="6">
        <v>0</v>
      </c>
      <c r="L43" s="4">
        <v>0</v>
      </c>
      <c r="M43" s="4">
        <v>0</v>
      </c>
      <c r="N43" s="8">
        <f t="shared" si="0"/>
        <v>0</v>
      </c>
      <c r="P43" s="4">
        <v>0</v>
      </c>
      <c r="Q43" s="4">
        <v>96</v>
      </c>
      <c r="R43">
        <f t="shared" si="1"/>
        <v>0</v>
      </c>
    </row>
    <row r="44" spans="1:18">
      <c r="A44" s="2">
        <v>45486</v>
      </c>
      <c r="B44" s="4">
        <v>35.75</v>
      </c>
      <c r="C44" s="4">
        <v>27.18</v>
      </c>
      <c r="D44" s="4">
        <v>74.47708333333334</v>
      </c>
      <c r="E44" s="4">
        <v>685.33333333333337</v>
      </c>
      <c r="F44" s="4">
        <v>2.2333333333333329</v>
      </c>
      <c r="G44" s="4">
        <v>20.829583333333339</v>
      </c>
      <c r="H44" s="4">
        <v>37.407916666666672</v>
      </c>
      <c r="I44" s="4">
        <v>0</v>
      </c>
      <c r="J44" s="4">
        <v>0</v>
      </c>
      <c r="K44" s="6">
        <v>0.2</v>
      </c>
      <c r="L44" s="4">
        <v>0</v>
      </c>
      <c r="M44" s="4">
        <v>0</v>
      </c>
      <c r="N44" s="8">
        <f t="shared" si="0"/>
        <v>0</v>
      </c>
      <c r="P44" s="4">
        <v>0.2</v>
      </c>
      <c r="Q44" s="4">
        <v>96</v>
      </c>
      <c r="R44">
        <f t="shared" si="1"/>
        <v>0</v>
      </c>
    </row>
    <row r="45" spans="1:18">
      <c r="A45" s="2">
        <v>45487</v>
      </c>
      <c r="B45" s="4">
        <v>35.35</v>
      </c>
      <c r="C45" s="4">
        <v>25.42</v>
      </c>
      <c r="D45" s="4">
        <v>75.844583333333333</v>
      </c>
      <c r="E45" s="4">
        <v>570.41666666666663</v>
      </c>
      <c r="F45" s="4">
        <v>1.916666666666667</v>
      </c>
      <c r="G45" s="4">
        <v>13.14666666666667</v>
      </c>
      <c r="H45" s="4">
        <v>35.854166666666657</v>
      </c>
      <c r="I45" s="4">
        <v>0</v>
      </c>
      <c r="J45" s="4">
        <v>0</v>
      </c>
      <c r="K45" s="6">
        <v>0</v>
      </c>
      <c r="L45" s="4">
        <v>0</v>
      </c>
      <c r="M45" s="4">
        <v>0</v>
      </c>
      <c r="N45" s="8">
        <f t="shared" si="0"/>
        <v>0</v>
      </c>
      <c r="P45" s="4">
        <v>0</v>
      </c>
      <c r="Q45" s="4">
        <v>96</v>
      </c>
      <c r="R45">
        <f t="shared" si="1"/>
        <v>0</v>
      </c>
    </row>
    <row r="46" spans="1:18">
      <c r="A46" s="2">
        <v>45488</v>
      </c>
      <c r="B46" s="4">
        <v>34.909999999999997</v>
      </c>
      <c r="C46" s="4">
        <v>27.25</v>
      </c>
      <c r="D46" s="4">
        <v>76.839166666666671</v>
      </c>
      <c r="E46" s="4">
        <v>627.45833333333337</v>
      </c>
      <c r="F46" s="4">
        <v>1.9591666666666669</v>
      </c>
      <c r="G46" s="4">
        <v>16.79708333333333</v>
      </c>
      <c r="H46" s="4">
        <v>34.765000000000001</v>
      </c>
      <c r="I46" s="4">
        <v>0</v>
      </c>
      <c r="J46" s="4">
        <v>0</v>
      </c>
      <c r="K46" s="6">
        <v>0.2</v>
      </c>
      <c r="L46" s="4">
        <v>0</v>
      </c>
      <c r="M46" s="4">
        <v>1068.3</v>
      </c>
      <c r="N46" s="8">
        <f t="shared" si="0"/>
        <v>558.70000000000005</v>
      </c>
      <c r="P46" s="4">
        <v>0.2</v>
      </c>
      <c r="Q46" s="4">
        <v>654.70000000000005</v>
      </c>
      <c r="R46">
        <f t="shared" si="1"/>
        <v>0.72558441558441567</v>
      </c>
    </row>
    <row r="47" spans="1:18">
      <c r="A47" s="2">
        <v>45489</v>
      </c>
      <c r="B47" s="4">
        <v>35.86</v>
      </c>
      <c r="C47" s="4">
        <v>26.23</v>
      </c>
      <c r="D47" s="4">
        <v>76.39</v>
      </c>
      <c r="E47" s="4">
        <v>717.08333333333337</v>
      </c>
      <c r="F47" s="4">
        <v>1.131666666666667</v>
      </c>
      <c r="G47" s="4">
        <v>12.12125</v>
      </c>
      <c r="H47" s="4">
        <v>35.758333333333333</v>
      </c>
      <c r="I47" s="4">
        <v>0</v>
      </c>
      <c r="J47" s="4">
        <v>2.4166666666666659E-3</v>
      </c>
      <c r="K47" s="6">
        <v>2</v>
      </c>
      <c r="L47" s="4">
        <v>0</v>
      </c>
      <c r="M47" s="4">
        <v>636.5</v>
      </c>
      <c r="N47" s="8">
        <f t="shared" si="0"/>
        <v>418.39999999999986</v>
      </c>
      <c r="P47" s="4">
        <v>2</v>
      </c>
      <c r="Q47" s="4">
        <v>1073.0999999999999</v>
      </c>
      <c r="R47">
        <f t="shared" si="1"/>
        <v>0.54337662337662318</v>
      </c>
    </row>
    <row r="48" spans="1:18">
      <c r="A48" s="2">
        <v>45490</v>
      </c>
      <c r="B48" s="4">
        <v>36.26</v>
      </c>
      <c r="C48" s="4">
        <v>26.04</v>
      </c>
      <c r="D48" s="4">
        <v>79.915000000000006</v>
      </c>
      <c r="E48" s="4">
        <v>661.79166666666663</v>
      </c>
      <c r="F48" s="4">
        <v>1.2170833333333331</v>
      </c>
      <c r="G48" s="4">
        <v>13.669166666666669</v>
      </c>
      <c r="H48" s="4">
        <v>34.977499999999999</v>
      </c>
      <c r="I48" s="4">
        <v>0</v>
      </c>
      <c r="J48" s="4">
        <v>4.2499999999999986E-3</v>
      </c>
      <c r="K48" s="6">
        <v>10.8</v>
      </c>
      <c r="L48" s="4">
        <v>0</v>
      </c>
      <c r="M48" s="4">
        <v>76.3</v>
      </c>
      <c r="N48" s="8">
        <f t="shared" si="0"/>
        <v>37.700000000000045</v>
      </c>
      <c r="P48" s="4">
        <v>10.8</v>
      </c>
      <c r="Q48" s="4">
        <v>1110.8</v>
      </c>
      <c r="R48">
        <f t="shared" si="1"/>
        <v>4.8961038961039018E-2</v>
      </c>
    </row>
    <row r="49" spans="1:18">
      <c r="A49" s="2">
        <v>45491</v>
      </c>
      <c r="B49" s="4">
        <v>35.380000000000003</v>
      </c>
      <c r="C49" s="4">
        <v>25.86</v>
      </c>
      <c r="D49" s="4">
        <v>81.387916666666669</v>
      </c>
      <c r="E49" s="4">
        <v>654.66666666666663</v>
      </c>
      <c r="F49" s="4">
        <v>1.2849999999999999</v>
      </c>
      <c r="G49" s="4">
        <v>13.6275</v>
      </c>
      <c r="H49" s="4">
        <v>33.857083333333343</v>
      </c>
      <c r="I49" s="4">
        <v>0</v>
      </c>
      <c r="J49" s="4">
        <v>2.0833333333333329E-3</v>
      </c>
      <c r="K49" s="6">
        <v>1.2</v>
      </c>
      <c r="L49" s="4">
        <v>0</v>
      </c>
      <c r="M49" s="4">
        <v>105.2</v>
      </c>
      <c r="N49" s="8">
        <f t="shared" si="0"/>
        <v>60.400000000000091</v>
      </c>
      <c r="P49" s="4">
        <v>1.2</v>
      </c>
      <c r="Q49" s="4">
        <v>1171.2</v>
      </c>
      <c r="R49">
        <f t="shared" si="1"/>
        <v>7.8441558441558562E-2</v>
      </c>
    </row>
    <row r="50" spans="1:18">
      <c r="A50" s="2">
        <v>45492</v>
      </c>
      <c r="B50" s="4">
        <v>35.049999999999997</v>
      </c>
      <c r="C50" s="4">
        <v>27.22</v>
      </c>
      <c r="D50" s="4">
        <v>82.211249999999993</v>
      </c>
      <c r="E50" s="4">
        <v>583.5</v>
      </c>
      <c r="F50" s="4">
        <v>1.6937500000000001</v>
      </c>
      <c r="G50" s="4">
        <v>12.200416666666669</v>
      </c>
      <c r="H50" s="4">
        <v>34.943333333333342</v>
      </c>
      <c r="I50" s="4">
        <v>0</v>
      </c>
      <c r="J50" s="4">
        <v>2.4583333333333332E-3</v>
      </c>
      <c r="K50" s="6">
        <v>0.2</v>
      </c>
      <c r="L50" s="4">
        <v>0</v>
      </c>
      <c r="M50" s="4">
        <v>127.9</v>
      </c>
      <c r="N50" s="8">
        <f t="shared" si="0"/>
        <v>72.299999999999955</v>
      </c>
      <c r="P50" s="4">
        <v>0.2</v>
      </c>
      <c r="Q50" s="4">
        <v>1243.5</v>
      </c>
      <c r="R50">
        <f t="shared" si="1"/>
        <v>9.3896103896103839E-2</v>
      </c>
    </row>
    <row r="51" spans="1:18">
      <c r="A51" s="2">
        <v>45493</v>
      </c>
      <c r="B51" s="4">
        <v>35.090000000000003</v>
      </c>
      <c r="C51" s="4">
        <v>28.53</v>
      </c>
      <c r="D51" s="4">
        <v>83.213333333333324</v>
      </c>
      <c r="E51" s="4">
        <v>433.625</v>
      </c>
      <c r="F51" s="4">
        <v>1.2875000000000001</v>
      </c>
      <c r="G51" s="4">
        <v>15.59041666666667</v>
      </c>
      <c r="H51" s="4">
        <v>34.627499999999998</v>
      </c>
      <c r="I51" s="4">
        <v>0</v>
      </c>
      <c r="J51" s="4">
        <v>6.6666666666666664E-4</v>
      </c>
      <c r="K51" s="6">
        <v>0</v>
      </c>
      <c r="L51" s="4">
        <v>0</v>
      </c>
      <c r="M51" s="4">
        <v>166.3</v>
      </c>
      <c r="N51" s="8">
        <f t="shared" si="0"/>
        <v>97.099999999999909</v>
      </c>
      <c r="P51" s="4">
        <v>0</v>
      </c>
      <c r="Q51" s="4">
        <v>1340.6</v>
      </c>
      <c r="R51">
        <f t="shared" si="1"/>
        <v>0.126103896103896</v>
      </c>
    </row>
    <row r="52" spans="1:18">
      <c r="A52" s="2">
        <v>45494</v>
      </c>
      <c r="B52" s="4">
        <v>34.840000000000003</v>
      </c>
      <c r="C52" s="4">
        <v>26.74</v>
      </c>
      <c r="D52" s="4">
        <v>83.419166666666669</v>
      </c>
      <c r="E52" s="4">
        <v>566.04166666666663</v>
      </c>
      <c r="F52" s="4">
        <v>2.4633333333333329</v>
      </c>
      <c r="G52" s="4">
        <v>12.735416666666669</v>
      </c>
      <c r="H52" s="4">
        <v>33.344999999999999</v>
      </c>
      <c r="I52" s="4">
        <v>0</v>
      </c>
      <c r="J52" s="4">
        <v>0</v>
      </c>
      <c r="K52" s="6">
        <v>0</v>
      </c>
      <c r="L52" s="4">
        <v>0</v>
      </c>
      <c r="M52" s="4">
        <v>70.900000000000006</v>
      </c>
      <c r="N52" s="8">
        <f t="shared" si="0"/>
        <v>44.5</v>
      </c>
      <c r="P52" s="4">
        <v>0</v>
      </c>
      <c r="Q52" s="4">
        <v>1385.1</v>
      </c>
      <c r="R52">
        <f t="shared" si="1"/>
        <v>5.7792207792207791E-2</v>
      </c>
    </row>
    <row r="53" spans="1:18">
      <c r="A53" s="2">
        <v>45495</v>
      </c>
      <c r="B53" s="4">
        <v>35.049999999999997</v>
      </c>
      <c r="C53" s="4">
        <v>26.37</v>
      </c>
      <c r="D53" s="4">
        <v>79.568750000000009</v>
      </c>
      <c r="E53" s="4">
        <v>658.625</v>
      </c>
      <c r="F53" s="4">
        <v>2.5166666666666671</v>
      </c>
      <c r="G53" s="4">
        <v>10.65291666666667</v>
      </c>
      <c r="H53" s="4">
        <v>35.508333333333333</v>
      </c>
      <c r="I53" s="4">
        <v>0</v>
      </c>
      <c r="J53" s="4">
        <v>0</v>
      </c>
      <c r="K53" s="6">
        <v>0</v>
      </c>
      <c r="L53" s="4">
        <v>0</v>
      </c>
      <c r="M53" s="4">
        <v>0</v>
      </c>
      <c r="N53" s="8">
        <f t="shared" si="0"/>
        <v>0</v>
      </c>
      <c r="P53" s="4">
        <v>0</v>
      </c>
      <c r="Q53" s="4">
        <v>1385.1</v>
      </c>
      <c r="R53">
        <f t="shared" si="1"/>
        <v>0</v>
      </c>
    </row>
    <row r="54" spans="1:18">
      <c r="A54" s="2">
        <v>45496</v>
      </c>
      <c r="B54" s="4">
        <v>34.950000000000003</v>
      </c>
      <c r="C54" s="4">
        <v>28.42</v>
      </c>
      <c r="D54" s="4">
        <v>82.532083333333333</v>
      </c>
      <c r="E54" s="4">
        <v>664</v>
      </c>
      <c r="F54" s="4">
        <v>3.07375</v>
      </c>
      <c r="G54" s="4">
        <v>16.477083333333329</v>
      </c>
      <c r="H54" s="4">
        <v>35.914166666666667</v>
      </c>
      <c r="I54" s="4">
        <v>0</v>
      </c>
      <c r="J54" s="4">
        <v>0</v>
      </c>
      <c r="K54" s="6">
        <v>0</v>
      </c>
      <c r="L54" s="4">
        <v>0</v>
      </c>
      <c r="M54" s="4">
        <v>0</v>
      </c>
      <c r="N54" s="8">
        <f t="shared" si="0"/>
        <v>0</v>
      </c>
      <c r="P54" s="4">
        <v>0</v>
      </c>
      <c r="Q54" s="4">
        <v>1385.1</v>
      </c>
      <c r="R54">
        <f t="shared" si="1"/>
        <v>0</v>
      </c>
    </row>
    <row r="55" spans="1:18">
      <c r="A55" s="2">
        <v>45497</v>
      </c>
      <c r="B55" s="4">
        <v>29.12</v>
      </c>
      <c r="C55" s="4">
        <v>26.37</v>
      </c>
      <c r="D55" s="4">
        <v>95.517499999999998</v>
      </c>
      <c r="E55" s="4">
        <v>168.875</v>
      </c>
      <c r="F55" s="4">
        <v>5.3395833333333336</v>
      </c>
      <c r="G55" s="4">
        <v>14.55291666666667</v>
      </c>
      <c r="H55" s="4">
        <v>27.967083333333331</v>
      </c>
      <c r="I55" s="4">
        <v>0.76333333333333331</v>
      </c>
      <c r="J55" s="4">
        <v>3.1250000000000002E-3</v>
      </c>
      <c r="K55" s="6">
        <v>91.4</v>
      </c>
      <c r="L55" s="4">
        <v>0</v>
      </c>
      <c r="M55" s="4">
        <v>0</v>
      </c>
      <c r="N55" s="8">
        <f t="shared" si="0"/>
        <v>0</v>
      </c>
      <c r="P55" s="4">
        <v>91.4</v>
      </c>
      <c r="Q55" s="4">
        <v>1385.1</v>
      </c>
      <c r="R55">
        <f t="shared" si="1"/>
        <v>0</v>
      </c>
    </row>
    <row r="56" spans="1:18">
      <c r="A56" s="2">
        <v>45498</v>
      </c>
      <c r="B56" s="4">
        <v>28.02</v>
      </c>
      <c r="C56" s="4">
        <v>26.08</v>
      </c>
      <c r="D56" s="4">
        <v>98.932083333333324</v>
      </c>
      <c r="E56" s="4">
        <v>72.458333333333329</v>
      </c>
      <c r="F56" s="4">
        <v>7.4533333333333331</v>
      </c>
      <c r="G56" s="4">
        <v>23.23833333333333</v>
      </c>
      <c r="H56" s="4">
        <v>26.381250000000001</v>
      </c>
      <c r="I56" s="4">
        <v>8.3537499999999998</v>
      </c>
      <c r="J56" s="4">
        <v>6.875E-3</v>
      </c>
      <c r="K56" s="6">
        <v>484.4</v>
      </c>
      <c r="L56" s="4">
        <v>0</v>
      </c>
      <c r="M56" s="4">
        <v>0</v>
      </c>
      <c r="N56" s="8">
        <f t="shared" si="0"/>
        <v>0</v>
      </c>
      <c r="P56" s="4">
        <v>480.2</v>
      </c>
      <c r="Q56" s="4">
        <v>1385.1</v>
      </c>
      <c r="R56">
        <f t="shared" si="1"/>
        <v>0</v>
      </c>
    </row>
    <row r="57" spans="1:18">
      <c r="A57" s="2">
        <v>45499</v>
      </c>
      <c r="B57" s="4">
        <v>28.97</v>
      </c>
      <c r="C57" s="4">
        <v>25.53</v>
      </c>
      <c r="D57" s="4">
        <v>95.308333333333337</v>
      </c>
      <c r="E57" s="4">
        <v>185.20833333333329</v>
      </c>
      <c r="F57" s="4">
        <v>6.8383333333333338</v>
      </c>
      <c r="G57" s="4">
        <v>18.721666666666671</v>
      </c>
      <c r="H57" s="4">
        <v>26.862916666666671</v>
      </c>
      <c r="I57" s="4">
        <v>1.969583333333333</v>
      </c>
      <c r="J57" s="4">
        <v>0</v>
      </c>
      <c r="K57" s="6">
        <v>69.400000000000006</v>
      </c>
      <c r="L57" s="4">
        <v>0</v>
      </c>
      <c r="M57" s="4">
        <v>0</v>
      </c>
      <c r="N57" s="8">
        <f t="shared" si="0"/>
        <v>0</v>
      </c>
      <c r="P57" s="4">
        <v>64.2</v>
      </c>
      <c r="Q57" s="4">
        <v>1385.1</v>
      </c>
      <c r="R57">
        <f t="shared" si="1"/>
        <v>0</v>
      </c>
    </row>
    <row r="58" spans="1:18">
      <c r="A58" s="2">
        <v>45500</v>
      </c>
      <c r="B58" s="4">
        <v>32.270000000000003</v>
      </c>
      <c r="C58" s="4">
        <v>27.11</v>
      </c>
      <c r="D58" s="4">
        <v>87.467499999999987</v>
      </c>
      <c r="E58" s="4">
        <v>460.33333333333331</v>
      </c>
      <c r="F58" s="4">
        <v>4.1108333333333329</v>
      </c>
      <c r="G58" s="4">
        <v>18.236666666666672</v>
      </c>
      <c r="H58" s="4">
        <v>29.93333333333333</v>
      </c>
      <c r="I58" s="4">
        <v>0</v>
      </c>
      <c r="J58" s="4">
        <v>0</v>
      </c>
      <c r="K58" s="6">
        <v>0.2</v>
      </c>
      <c r="L58" s="4">
        <v>0</v>
      </c>
      <c r="M58" s="4">
        <v>0</v>
      </c>
      <c r="N58" s="8">
        <f t="shared" si="0"/>
        <v>0</v>
      </c>
      <c r="P58" s="4">
        <v>0.2</v>
      </c>
      <c r="Q58" s="4">
        <v>1385.1</v>
      </c>
      <c r="R58">
        <f t="shared" si="1"/>
        <v>0</v>
      </c>
    </row>
    <row r="59" spans="1:18">
      <c r="A59" s="2">
        <v>45501</v>
      </c>
      <c r="B59" s="4">
        <v>33.85</v>
      </c>
      <c r="C59" s="4">
        <v>26.74</v>
      </c>
      <c r="D59" s="4">
        <v>86.051249999999996</v>
      </c>
      <c r="E59" s="4">
        <v>539.04166666666663</v>
      </c>
      <c r="F59" s="4">
        <v>2.13625</v>
      </c>
      <c r="G59" s="4">
        <v>12.46833333333333</v>
      </c>
      <c r="H59" s="4">
        <v>31.907083333333329</v>
      </c>
      <c r="I59" s="4">
        <v>0</v>
      </c>
      <c r="J59" s="4">
        <v>0</v>
      </c>
      <c r="K59" s="6">
        <v>0</v>
      </c>
      <c r="L59" s="4">
        <v>0</v>
      </c>
      <c r="M59" s="4">
        <v>0</v>
      </c>
      <c r="N59" s="8">
        <f t="shared" si="0"/>
        <v>0</v>
      </c>
      <c r="P59" s="4">
        <v>0</v>
      </c>
      <c r="Q59" s="4">
        <v>1385.1</v>
      </c>
      <c r="R59">
        <f t="shared" si="1"/>
        <v>0</v>
      </c>
    </row>
    <row r="60" spans="1:18">
      <c r="A60" s="2">
        <v>45502</v>
      </c>
      <c r="B60" s="4">
        <v>33.630000000000003</v>
      </c>
      <c r="C60" s="4">
        <v>26.63</v>
      </c>
      <c r="D60" s="4">
        <v>87.200416666666669</v>
      </c>
      <c r="E60" s="4">
        <v>442.125</v>
      </c>
      <c r="F60" s="4">
        <v>1.9191666666666669</v>
      </c>
      <c r="G60" s="4">
        <v>10.30666666666667</v>
      </c>
      <c r="H60" s="4">
        <v>31.607500000000002</v>
      </c>
      <c r="I60" s="4">
        <v>0</v>
      </c>
      <c r="J60" s="4">
        <v>4.7916666666666672E-3</v>
      </c>
      <c r="K60" s="6">
        <v>0</v>
      </c>
      <c r="L60" s="4">
        <v>0</v>
      </c>
      <c r="M60" s="4">
        <v>0</v>
      </c>
      <c r="N60" s="8">
        <f t="shared" si="0"/>
        <v>0</v>
      </c>
      <c r="P60" s="4">
        <v>0</v>
      </c>
      <c r="Q60" s="4">
        <v>1385.1</v>
      </c>
      <c r="R60">
        <f t="shared" si="1"/>
        <v>0</v>
      </c>
    </row>
    <row r="61" spans="1:18">
      <c r="A61" s="2">
        <v>45503</v>
      </c>
      <c r="B61" s="4">
        <v>33.74</v>
      </c>
      <c r="C61" s="4">
        <v>26.59</v>
      </c>
      <c r="D61" s="4">
        <v>82.334583333333327</v>
      </c>
      <c r="E61" s="4">
        <v>579.75</v>
      </c>
      <c r="F61" s="4">
        <v>2.6512500000000001</v>
      </c>
      <c r="G61" s="4">
        <v>20.486666666666672</v>
      </c>
      <c r="H61" s="4">
        <v>32.720833333333331</v>
      </c>
      <c r="I61" s="4">
        <v>0</v>
      </c>
      <c r="J61" s="4">
        <v>0</v>
      </c>
      <c r="K61" s="6">
        <v>0.2</v>
      </c>
      <c r="L61" s="4">
        <v>0</v>
      </c>
      <c r="M61" s="4">
        <v>0</v>
      </c>
      <c r="N61" s="8">
        <f t="shared" si="0"/>
        <v>0</v>
      </c>
      <c r="P61" s="4">
        <v>0.2</v>
      </c>
      <c r="Q61" s="4">
        <v>1385.1</v>
      </c>
      <c r="R61">
        <f t="shared" si="1"/>
        <v>0</v>
      </c>
    </row>
    <row r="62" spans="1:18">
      <c r="A62" s="2">
        <v>45504</v>
      </c>
      <c r="B62" s="4">
        <v>34.07</v>
      </c>
      <c r="C62" s="4">
        <v>27.03</v>
      </c>
      <c r="D62" s="4">
        <v>81.195000000000007</v>
      </c>
      <c r="E62" s="4">
        <v>690.625</v>
      </c>
      <c r="F62" s="4">
        <v>2.5054166666666671</v>
      </c>
      <c r="G62" s="4">
        <v>20.293333333333329</v>
      </c>
      <c r="H62" s="4">
        <v>33.147500000000001</v>
      </c>
      <c r="I62" s="4">
        <v>0</v>
      </c>
      <c r="J62" s="4">
        <v>0</v>
      </c>
      <c r="K62" s="6">
        <v>0</v>
      </c>
      <c r="L62" s="4">
        <v>0</v>
      </c>
      <c r="M62" s="4">
        <v>0</v>
      </c>
      <c r="N62" s="8">
        <f t="shared" si="0"/>
        <v>0</v>
      </c>
      <c r="P62" s="4">
        <v>0</v>
      </c>
      <c r="Q62" s="4">
        <v>1385.1</v>
      </c>
      <c r="R62">
        <f t="shared" si="1"/>
        <v>0</v>
      </c>
    </row>
    <row r="63" spans="1:18">
      <c r="A63" s="2">
        <v>45505</v>
      </c>
      <c r="B63" s="4">
        <v>34.65</v>
      </c>
      <c r="C63" s="4">
        <v>27.29</v>
      </c>
      <c r="D63" s="4">
        <v>80.11</v>
      </c>
      <c r="E63" s="4">
        <v>733.25</v>
      </c>
      <c r="F63" s="4">
        <v>2.3008333333333328</v>
      </c>
      <c r="G63" s="4">
        <v>22.787916666666661</v>
      </c>
      <c r="H63" s="4">
        <v>34.503333333333337</v>
      </c>
      <c r="I63" s="4">
        <v>0</v>
      </c>
      <c r="J63" s="4">
        <v>0</v>
      </c>
      <c r="K63" s="6">
        <v>0.2</v>
      </c>
      <c r="L63" s="4">
        <v>0</v>
      </c>
      <c r="M63" s="4">
        <v>0</v>
      </c>
      <c r="N63" s="8">
        <f t="shared" si="0"/>
        <v>0</v>
      </c>
      <c r="P63" s="4">
        <v>0.2</v>
      </c>
      <c r="Q63" s="4">
        <v>1385.1</v>
      </c>
      <c r="R63">
        <f t="shared" si="1"/>
        <v>0</v>
      </c>
    </row>
    <row r="64" spans="1:18">
      <c r="A64" s="2">
        <v>45506</v>
      </c>
      <c r="B64" s="4">
        <v>34.36</v>
      </c>
      <c r="C64" s="4">
        <v>27.88</v>
      </c>
      <c r="D64" s="4">
        <v>80.948333333333338</v>
      </c>
      <c r="E64" s="4">
        <v>687.29166666666663</v>
      </c>
      <c r="F64" s="4">
        <v>2.3050000000000002</v>
      </c>
      <c r="G64" s="4">
        <v>22.382916666666659</v>
      </c>
      <c r="H64" s="4">
        <v>35.219583333333333</v>
      </c>
      <c r="I64" s="4">
        <v>0</v>
      </c>
      <c r="J64" s="4">
        <v>0</v>
      </c>
      <c r="K64" s="6">
        <v>0.2</v>
      </c>
      <c r="L64" s="4">
        <v>0</v>
      </c>
      <c r="M64" s="4">
        <v>0</v>
      </c>
      <c r="N64" s="8">
        <f t="shared" si="0"/>
        <v>0</v>
      </c>
      <c r="P64" s="4">
        <v>0.2</v>
      </c>
      <c r="Q64" s="4">
        <v>1385.1</v>
      </c>
      <c r="R64">
        <f t="shared" si="1"/>
        <v>0</v>
      </c>
    </row>
    <row r="65" spans="1:18">
      <c r="A65" s="2">
        <v>45507</v>
      </c>
      <c r="B65" s="4">
        <v>35.42</v>
      </c>
      <c r="C65" s="4">
        <v>27.66</v>
      </c>
      <c r="D65" s="4">
        <v>79.711249999999993</v>
      </c>
      <c r="E65" s="4">
        <v>735.54166666666663</v>
      </c>
      <c r="F65" s="4">
        <v>1.720833333333333</v>
      </c>
      <c r="G65" s="4">
        <v>21.599583333333332</v>
      </c>
      <c r="H65" s="4">
        <v>35.742916666666673</v>
      </c>
      <c r="I65" s="4">
        <v>0</v>
      </c>
      <c r="J65" s="4">
        <v>0</v>
      </c>
      <c r="K65" s="6">
        <v>0</v>
      </c>
      <c r="L65" s="4">
        <v>0</v>
      </c>
      <c r="M65" s="4">
        <v>0</v>
      </c>
      <c r="N65" s="8">
        <f t="shared" si="0"/>
        <v>0</v>
      </c>
      <c r="P65" s="4">
        <v>0</v>
      </c>
      <c r="Q65" s="4">
        <v>1385.1</v>
      </c>
      <c r="R65">
        <f t="shared" si="1"/>
        <v>0</v>
      </c>
    </row>
    <row r="66" spans="1:18">
      <c r="A66" s="2">
        <v>45508</v>
      </c>
      <c r="B66" s="4">
        <v>36.229999999999997</v>
      </c>
      <c r="C66" s="4">
        <v>28.21</v>
      </c>
      <c r="D66" s="4">
        <v>77.588750000000005</v>
      </c>
      <c r="E66" s="4">
        <v>656.5</v>
      </c>
      <c r="F66" s="4">
        <v>1.685416666666667</v>
      </c>
      <c r="G66" s="4">
        <v>22.236666666666661</v>
      </c>
      <c r="H66" s="4">
        <v>36.440416666666671</v>
      </c>
      <c r="I66" s="4">
        <v>0</v>
      </c>
      <c r="J66" s="4">
        <v>0</v>
      </c>
      <c r="K66" s="6">
        <v>0.2</v>
      </c>
      <c r="L66" s="4">
        <v>0</v>
      </c>
      <c r="M66" s="4">
        <v>0</v>
      </c>
      <c r="N66" s="8">
        <f t="shared" ref="N66:N129" si="2">Q66-Q65</f>
        <v>0</v>
      </c>
      <c r="P66" s="4">
        <v>0.2</v>
      </c>
      <c r="Q66" s="4">
        <v>1385.1</v>
      </c>
      <c r="R66">
        <f t="shared" si="1"/>
        <v>0</v>
      </c>
    </row>
    <row r="67" spans="1:18">
      <c r="A67" s="2">
        <v>45509</v>
      </c>
      <c r="B67" s="4">
        <v>35.020000000000003</v>
      </c>
      <c r="C67" s="4">
        <v>27.8</v>
      </c>
      <c r="D67" s="4">
        <v>79.791666666666671</v>
      </c>
      <c r="E67" s="4">
        <v>584.08333333333337</v>
      </c>
      <c r="F67" s="4">
        <v>1.680833333333333</v>
      </c>
      <c r="G67" s="4">
        <v>19.57791666666667</v>
      </c>
      <c r="H67" s="4">
        <v>34.9375</v>
      </c>
      <c r="I67" s="4">
        <v>0</v>
      </c>
      <c r="J67" s="4">
        <v>0</v>
      </c>
      <c r="K67" s="6">
        <v>0</v>
      </c>
      <c r="L67" s="4">
        <v>0</v>
      </c>
      <c r="M67" s="4">
        <v>0</v>
      </c>
      <c r="N67" s="8">
        <f t="shared" si="2"/>
        <v>0</v>
      </c>
      <c r="P67" s="4">
        <v>0</v>
      </c>
      <c r="Q67" s="4">
        <v>1385.1</v>
      </c>
      <c r="R67">
        <f t="shared" ref="R67:R130" si="3">N67/770</f>
        <v>0</v>
      </c>
    </row>
    <row r="68" spans="1:18">
      <c r="A68" s="2">
        <v>45510</v>
      </c>
      <c r="B68" s="4">
        <v>33.96</v>
      </c>
      <c r="C68" s="4">
        <v>27.11</v>
      </c>
      <c r="D68" s="4">
        <v>84.752083333333331</v>
      </c>
      <c r="E68" s="4">
        <v>256.33333333333331</v>
      </c>
      <c r="F68" s="4">
        <v>1.4883333333333331</v>
      </c>
      <c r="G68" s="4">
        <v>21.549583333333331</v>
      </c>
      <c r="H68" s="4">
        <v>31.76541666666667</v>
      </c>
      <c r="I68" s="4">
        <v>0</v>
      </c>
      <c r="J68" s="4">
        <v>0</v>
      </c>
      <c r="K68" s="6">
        <v>0</v>
      </c>
      <c r="L68" s="4">
        <v>0</v>
      </c>
      <c r="M68" s="4">
        <v>0</v>
      </c>
      <c r="N68" s="8">
        <f t="shared" si="2"/>
        <v>0</v>
      </c>
      <c r="P68" s="4">
        <v>0</v>
      </c>
      <c r="Q68" s="4">
        <v>1385.1</v>
      </c>
      <c r="R68">
        <f t="shared" si="3"/>
        <v>0</v>
      </c>
    </row>
    <row r="69" spans="1:18">
      <c r="A69" s="2">
        <v>45511</v>
      </c>
      <c r="B69" s="4">
        <v>34.799999999999997</v>
      </c>
      <c r="C69" s="4">
        <v>26.12</v>
      </c>
      <c r="D69" s="4">
        <v>77.794166666666669</v>
      </c>
      <c r="E69" s="4">
        <v>601.08333333333337</v>
      </c>
      <c r="F69" s="4">
        <v>1.19</v>
      </c>
      <c r="G69" s="4">
        <v>21.0625</v>
      </c>
      <c r="H69" s="4">
        <v>34.956249999999997</v>
      </c>
      <c r="I69" s="4">
        <v>0</v>
      </c>
      <c r="J69" s="4">
        <v>0</v>
      </c>
      <c r="K69" s="6">
        <v>0.2</v>
      </c>
      <c r="L69" s="4">
        <v>0</v>
      </c>
      <c r="M69" s="4">
        <v>1069.0999999999999</v>
      </c>
      <c r="N69" s="8">
        <f t="shared" si="2"/>
        <v>627.20000000000005</v>
      </c>
      <c r="P69" s="4">
        <v>0.2</v>
      </c>
      <c r="Q69" s="4">
        <v>2012.3</v>
      </c>
      <c r="R69">
        <f t="shared" si="3"/>
        <v>0.81454545454545457</v>
      </c>
    </row>
    <row r="70" spans="1:18">
      <c r="A70" s="2">
        <v>45512</v>
      </c>
      <c r="B70" s="4">
        <v>34.76</v>
      </c>
      <c r="C70" s="4">
        <v>27.4</v>
      </c>
      <c r="D70" s="4">
        <v>84.806249999999991</v>
      </c>
      <c r="E70" s="4">
        <v>444.20833333333331</v>
      </c>
      <c r="F70" s="4">
        <v>2.060833333333334</v>
      </c>
      <c r="G70" s="4">
        <v>19.498333333333331</v>
      </c>
      <c r="H70" s="4">
        <v>31.839166666666671</v>
      </c>
      <c r="I70" s="4">
        <v>0</v>
      </c>
      <c r="J70" s="4">
        <v>0</v>
      </c>
      <c r="K70" s="6">
        <v>14.2</v>
      </c>
      <c r="L70" s="4">
        <v>0</v>
      </c>
      <c r="M70" s="4">
        <v>144.30000000000001</v>
      </c>
      <c r="N70" s="8">
        <f t="shared" si="2"/>
        <v>80.700000000000045</v>
      </c>
      <c r="P70" s="4">
        <v>14.2</v>
      </c>
      <c r="Q70" s="4">
        <v>2093</v>
      </c>
      <c r="R70">
        <f t="shared" si="3"/>
        <v>0.10480519480519486</v>
      </c>
    </row>
    <row r="71" spans="1:18">
      <c r="A71" s="2">
        <v>45513</v>
      </c>
      <c r="B71" s="4">
        <v>33.33</v>
      </c>
      <c r="C71" s="4">
        <v>26.45</v>
      </c>
      <c r="D71" s="4">
        <v>85.941250000000011</v>
      </c>
      <c r="E71" s="4">
        <v>553.54166666666663</v>
      </c>
      <c r="F71" s="4">
        <v>3.0516666666666659</v>
      </c>
      <c r="G71" s="4">
        <v>18.505833333333332</v>
      </c>
      <c r="H71" s="4">
        <v>31.555833333333339</v>
      </c>
      <c r="I71" s="4">
        <v>0</v>
      </c>
      <c r="J71" s="4">
        <v>0</v>
      </c>
      <c r="K71" s="6">
        <v>0.4</v>
      </c>
      <c r="L71" s="4">
        <v>0</v>
      </c>
      <c r="M71" s="4">
        <v>249.9</v>
      </c>
      <c r="N71" s="8">
        <f t="shared" si="2"/>
        <v>140.59999999999991</v>
      </c>
      <c r="P71" s="4">
        <v>0.4</v>
      </c>
      <c r="Q71" s="4">
        <v>2233.6</v>
      </c>
      <c r="R71">
        <f t="shared" si="3"/>
        <v>0.18259740259740248</v>
      </c>
    </row>
    <row r="72" spans="1:18">
      <c r="A72" s="2">
        <v>45514</v>
      </c>
      <c r="B72" s="4">
        <v>31.58</v>
      </c>
      <c r="C72" s="4">
        <v>26.3</v>
      </c>
      <c r="D72" s="4">
        <v>88.586666666666659</v>
      </c>
      <c r="E72" s="4">
        <v>367.33333333333331</v>
      </c>
      <c r="F72" s="4">
        <v>2.9024999999999999</v>
      </c>
      <c r="G72" s="4">
        <v>18.395</v>
      </c>
      <c r="H72" s="4">
        <v>29.641249999999999</v>
      </c>
      <c r="I72" s="4">
        <v>0</v>
      </c>
      <c r="J72" s="4">
        <v>0</v>
      </c>
      <c r="K72" s="6">
        <v>0</v>
      </c>
      <c r="L72" s="4">
        <v>0</v>
      </c>
      <c r="M72" s="4">
        <v>281.89999999999998</v>
      </c>
      <c r="N72" s="8">
        <f t="shared" si="2"/>
        <v>178.70000000000027</v>
      </c>
      <c r="P72" s="4">
        <v>0</v>
      </c>
      <c r="Q72" s="4">
        <v>2412.3000000000002</v>
      </c>
      <c r="R72">
        <f t="shared" si="3"/>
        <v>0.23207792207792244</v>
      </c>
    </row>
    <row r="73" spans="1:18">
      <c r="A73" s="2">
        <v>45515</v>
      </c>
      <c r="B73" s="4">
        <v>34.54</v>
      </c>
      <c r="C73" s="4">
        <v>26.96</v>
      </c>
      <c r="D73" s="4">
        <v>81.885833333333338</v>
      </c>
      <c r="E73" s="4">
        <v>562.125</v>
      </c>
      <c r="F73" s="4">
        <v>2.4208333333333329</v>
      </c>
      <c r="G73" s="4">
        <v>19.31583333333333</v>
      </c>
      <c r="H73" s="4">
        <v>32.448333333333331</v>
      </c>
      <c r="I73" s="4">
        <v>0</v>
      </c>
      <c r="J73" s="4">
        <v>0</v>
      </c>
      <c r="K73" s="6">
        <v>0</v>
      </c>
      <c r="L73" s="4">
        <v>0</v>
      </c>
      <c r="M73" s="4">
        <v>314.7</v>
      </c>
      <c r="N73" s="8">
        <f t="shared" si="2"/>
        <v>187.59999999999991</v>
      </c>
      <c r="P73" s="4">
        <v>0</v>
      </c>
      <c r="Q73" s="4">
        <v>2599.9</v>
      </c>
      <c r="R73">
        <f t="shared" si="3"/>
        <v>0.24363636363636351</v>
      </c>
    </row>
    <row r="74" spans="1:18">
      <c r="A74" s="2">
        <v>45516</v>
      </c>
      <c r="B74" s="4">
        <v>35.159999999999997</v>
      </c>
      <c r="C74" s="4">
        <v>27.11</v>
      </c>
      <c r="D74" s="4">
        <v>79.316666666666663</v>
      </c>
      <c r="E74" s="4">
        <v>587.45833333333337</v>
      </c>
      <c r="F74" s="4">
        <v>1.9037500000000001</v>
      </c>
      <c r="G74" s="4">
        <v>20.341249999999999</v>
      </c>
      <c r="H74" s="4">
        <v>34.15208333333333</v>
      </c>
      <c r="I74" s="4">
        <v>0</v>
      </c>
      <c r="J74" s="4">
        <v>0</v>
      </c>
      <c r="K74" s="6">
        <v>0</v>
      </c>
      <c r="L74" s="4">
        <v>0</v>
      </c>
      <c r="M74" s="4">
        <v>402.2</v>
      </c>
      <c r="N74" s="8">
        <f t="shared" si="2"/>
        <v>241.59999999999991</v>
      </c>
      <c r="P74" s="4">
        <v>0</v>
      </c>
      <c r="Q74" s="4">
        <v>2841.5</v>
      </c>
      <c r="R74">
        <f t="shared" si="3"/>
        <v>0.31376623376623364</v>
      </c>
    </row>
    <row r="75" spans="1:18">
      <c r="A75" s="2">
        <v>45517</v>
      </c>
      <c r="B75" s="4">
        <v>34.979999999999997</v>
      </c>
      <c r="C75" s="4">
        <v>27.62</v>
      </c>
      <c r="D75" s="4">
        <v>81.555833333333325</v>
      </c>
      <c r="E75" s="4">
        <v>590.58333333333337</v>
      </c>
      <c r="F75" s="4">
        <v>2.1737500000000001</v>
      </c>
      <c r="G75" s="4">
        <v>21.04708333333333</v>
      </c>
      <c r="H75" s="4">
        <v>34.363750000000003</v>
      </c>
      <c r="I75" s="4">
        <v>0</v>
      </c>
      <c r="J75" s="4">
        <v>0</v>
      </c>
      <c r="K75" s="6">
        <v>0</v>
      </c>
      <c r="L75" s="4">
        <v>0</v>
      </c>
      <c r="M75" s="4">
        <v>537.6</v>
      </c>
      <c r="N75" s="8">
        <f t="shared" si="2"/>
        <v>325.30000000000018</v>
      </c>
      <c r="P75" s="4">
        <v>0</v>
      </c>
      <c r="Q75" s="4">
        <v>3166.8</v>
      </c>
      <c r="R75">
        <f t="shared" si="3"/>
        <v>0.42246753246753271</v>
      </c>
    </row>
    <row r="76" spans="1:18">
      <c r="A76" s="2">
        <v>45518</v>
      </c>
      <c r="B76" s="4">
        <v>33.96</v>
      </c>
      <c r="C76" s="4">
        <v>26.7</v>
      </c>
      <c r="D76" s="4">
        <v>85.583750000000009</v>
      </c>
      <c r="E76" s="4">
        <v>495.95833333333331</v>
      </c>
      <c r="F76" s="4">
        <v>2.6429166666666668</v>
      </c>
      <c r="G76" s="4">
        <v>19.07041666666667</v>
      </c>
      <c r="H76" s="4">
        <v>32.765833333333333</v>
      </c>
      <c r="I76" s="4">
        <v>0</v>
      </c>
      <c r="J76" s="4">
        <v>0</v>
      </c>
      <c r="K76" s="6">
        <v>3.4</v>
      </c>
      <c r="L76" s="4">
        <v>0</v>
      </c>
      <c r="M76" s="4">
        <v>580.29999999999995</v>
      </c>
      <c r="N76" s="8">
        <f t="shared" si="2"/>
        <v>352.89999999999964</v>
      </c>
      <c r="P76" s="4">
        <v>3.4</v>
      </c>
      <c r="Q76" s="4">
        <v>3519.7</v>
      </c>
      <c r="R76">
        <f t="shared" si="3"/>
        <v>0.45831168831168784</v>
      </c>
    </row>
    <row r="77" spans="1:18">
      <c r="A77" s="2">
        <v>45519</v>
      </c>
      <c r="B77" s="4">
        <v>31.06</v>
      </c>
      <c r="C77" s="4">
        <v>24.87</v>
      </c>
      <c r="D77" s="4">
        <v>94.783749999999998</v>
      </c>
      <c r="E77" s="4">
        <v>240.375</v>
      </c>
      <c r="F77" s="4">
        <v>2.13625</v>
      </c>
      <c r="G77" s="4">
        <v>18.39833333333333</v>
      </c>
      <c r="H77" s="4">
        <v>27.860416666666669</v>
      </c>
      <c r="I77" s="4">
        <v>0.5741666666666666</v>
      </c>
      <c r="J77" s="4">
        <v>0</v>
      </c>
      <c r="K77" s="6">
        <v>49.2</v>
      </c>
      <c r="L77" s="4">
        <v>0</v>
      </c>
      <c r="M77" s="4">
        <v>608.1</v>
      </c>
      <c r="N77" s="8">
        <f t="shared" si="2"/>
        <v>366.40000000000009</v>
      </c>
      <c r="P77" s="4">
        <v>48.8</v>
      </c>
      <c r="Q77" s="4">
        <v>3886.1</v>
      </c>
      <c r="R77">
        <f t="shared" si="3"/>
        <v>0.47584415584415596</v>
      </c>
    </row>
    <row r="78" spans="1:18">
      <c r="A78" s="2">
        <v>45520</v>
      </c>
      <c r="B78" s="4">
        <v>32.93</v>
      </c>
      <c r="C78" s="4">
        <v>25.79</v>
      </c>
      <c r="D78" s="4">
        <v>87.691250000000011</v>
      </c>
      <c r="E78" s="4">
        <v>596.91666666666663</v>
      </c>
      <c r="F78" s="4">
        <v>1.690833333333333</v>
      </c>
      <c r="G78" s="4">
        <v>19.858750000000001</v>
      </c>
      <c r="H78" s="4">
        <v>31.79</v>
      </c>
      <c r="I78" s="4">
        <v>0</v>
      </c>
      <c r="J78" s="4">
        <v>0</v>
      </c>
      <c r="K78" s="6">
        <v>2</v>
      </c>
      <c r="L78" s="4">
        <v>0</v>
      </c>
      <c r="M78" s="4">
        <v>710.6</v>
      </c>
      <c r="N78" s="8">
        <f t="shared" si="2"/>
        <v>431.00000000000045</v>
      </c>
      <c r="P78" s="4">
        <v>2</v>
      </c>
      <c r="Q78" s="4">
        <v>4317.1000000000004</v>
      </c>
      <c r="R78">
        <f t="shared" si="3"/>
        <v>0.55974025974026032</v>
      </c>
    </row>
    <row r="79" spans="1:18">
      <c r="A79" s="2">
        <v>45521</v>
      </c>
      <c r="B79" s="4">
        <v>29.49</v>
      </c>
      <c r="C79" s="4">
        <v>25.9</v>
      </c>
      <c r="D79" s="4">
        <v>92.167500000000004</v>
      </c>
      <c r="E79" s="4">
        <v>288.5</v>
      </c>
      <c r="F79" s="4">
        <v>2.1887500000000002</v>
      </c>
      <c r="G79" s="4">
        <v>18.408333333333331</v>
      </c>
      <c r="H79" s="4">
        <v>28.31291666666667</v>
      </c>
      <c r="I79" s="4">
        <v>0</v>
      </c>
      <c r="J79" s="4">
        <v>0</v>
      </c>
      <c r="K79" s="6">
        <v>1.8</v>
      </c>
      <c r="L79" s="4">
        <v>0</v>
      </c>
      <c r="M79" s="4">
        <v>641.5</v>
      </c>
      <c r="N79" s="8">
        <f t="shared" si="2"/>
        <v>386.5</v>
      </c>
      <c r="P79" s="4">
        <v>0.8</v>
      </c>
      <c r="Q79" s="4">
        <v>4703.6000000000004</v>
      </c>
      <c r="R79">
        <f t="shared" si="3"/>
        <v>0.50194805194805192</v>
      </c>
    </row>
    <row r="80" spans="1:18">
      <c r="A80" s="2">
        <v>45522</v>
      </c>
      <c r="B80" s="4">
        <v>33.33</v>
      </c>
      <c r="C80" s="4">
        <v>25.86</v>
      </c>
      <c r="D80" s="4">
        <v>85.743333333333339</v>
      </c>
      <c r="E80" s="4">
        <v>479.41666666666669</v>
      </c>
      <c r="F80" s="4">
        <v>2.4395833333333332</v>
      </c>
      <c r="G80" s="4">
        <v>21.28833333333333</v>
      </c>
      <c r="H80" s="4">
        <v>30.400833333333331</v>
      </c>
      <c r="I80" s="4">
        <v>0</v>
      </c>
      <c r="J80" s="4">
        <v>0</v>
      </c>
      <c r="K80" s="6">
        <v>2.6</v>
      </c>
      <c r="L80" s="4">
        <v>0</v>
      </c>
      <c r="M80" s="4">
        <v>670.5</v>
      </c>
      <c r="N80" s="8">
        <f t="shared" si="2"/>
        <v>402.79999999999927</v>
      </c>
      <c r="P80" s="4">
        <v>2.6</v>
      </c>
      <c r="Q80" s="4">
        <v>5106.3999999999996</v>
      </c>
      <c r="R80">
        <f t="shared" si="3"/>
        <v>0.5231168831168822</v>
      </c>
    </row>
    <row r="81" spans="1:18">
      <c r="A81" s="2">
        <v>45523</v>
      </c>
      <c r="B81" s="4">
        <v>31.1</v>
      </c>
      <c r="C81" s="4">
        <v>25.9</v>
      </c>
      <c r="D81" s="4">
        <v>90.057500000000005</v>
      </c>
      <c r="E81" s="4">
        <v>316.125</v>
      </c>
      <c r="F81" s="4">
        <v>3.1549999999999998</v>
      </c>
      <c r="G81" s="4">
        <v>19.290416666666669</v>
      </c>
      <c r="H81" s="4">
        <v>28.069166666666661</v>
      </c>
      <c r="I81" s="4">
        <v>0</v>
      </c>
      <c r="J81" s="4">
        <v>0</v>
      </c>
      <c r="K81" s="6">
        <v>10</v>
      </c>
      <c r="L81" s="4">
        <v>0</v>
      </c>
      <c r="M81" s="4">
        <v>660.5</v>
      </c>
      <c r="N81" s="8">
        <f t="shared" si="2"/>
        <v>398.40000000000055</v>
      </c>
      <c r="P81" s="4">
        <v>7.8</v>
      </c>
      <c r="Q81" s="4">
        <v>5504.8</v>
      </c>
      <c r="R81">
        <f t="shared" si="3"/>
        <v>0.51740259740259809</v>
      </c>
    </row>
    <row r="82" spans="1:18">
      <c r="A82" s="2">
        <v>45524</v>
      </c>
      <c r="B82" s="4">
        <v>33.659999999999997</v>
      </c>
      <c r="C82" s="4">
        <v>24.32</v>
      </c>
      <c r="D82" s="4">
        <v>85.201666666666668</v>
      </c>
      <c r="E82" s="4">
        <v>372.83333333333331</v>
      </c>
      <c r="F82" s="4">
        <v>3.7716666666666669</v>
      </c>
      <c r="G82" s="4">
        <v>20.305833333333329</v>
      </c>
      <c r="H82" s="4">
        <v>27.916250000000002</v>
      </c>
      <c r="I82" s="4">
        <v>0.23749999999999999</v>
      </c>
      <c r="J82" s="4">
        <v>0</v>
      </c>
      <c r="K82" s="6">
        <v>30.8</v>
      </c>
      <c r="L82" s="4">
        <v>0</v>
      </c>
      <c r="M82" s="4">
        <v>720.1</v>
      </c>
      <c r="N82" s="8">
        <f t="shared" si="2"/>
        <v>436.89999999999964</v>
      </c>
      <c r="P82" s="4">
        <v>30.8</v>
      </c>
      <c r="Q82" s="4">
        <v>5941.7</v>
      </c>
      <c r="R82">
        <f t="shared" si="3"/>
        <v>0.56740259740259691</v>
      </c>
    </row>
    <row r="83" spans="1:18">
      <c r="A83" s="2">
        <v>45525</v>
      </c>
      <c r="B83" s="4">
        <v>33.92</v>
      </c>
      <c r="C83" s="4">
        <v>24.87</v>
      </c>
      <c r="D83" s="4">
        <v>84.662083333333342</v>
      </c>
      <c r="E83" s="4">
        <v>555.125</v>
      </c>
      <c r="F83" s="4">
        <v>2.2875000000000001</v>
      </c>
      <c r="G83" s="4">
        <v>20.47291666666667</v>
      </c>
      <c r="H83" s="4">
        <v>30.02416666666667</v>
      </c>
      <c r="I83" s="4">
        <v>0</v>
      </c>
      <c r="J83" s="4">
        <v>0</v>
      </c>
      <c r="K83" s="6">
        <v>6</v>
      </c>
      <c r="L83" s="4">
        <v>0</v>
      </c>
      <c r="M83" s="4">
        <v>860.4</v>
      </c>
      <c r="N83" s="8">
        <f t="shared" si="2"/>
        <v>503.30000000000018</v>
      </c>
      <c r="P83" s="4">
        <v>6</v>
      </c>
      <c r="Q83" s="4">
        <v>6445</v>
      </c>
      <c r="R83">
        <f t="shared" si="3"/>
        <v>0.6536363636363639</v>
      </c>
    </row>
    <row r="84" spans="1:18">
      <c r="A84" s="2">
        <v>45526</v>
      </c>
      <c r="B84" s="4">
        <v>33.44</v>
      </c>
      <c r="C84" s="4">
        <v>25.27</v>
      </c>
      <c r="D84" s="4">
        <v>84.05416666666666</v>
      </c>
      <c r="E84" s="4">
        <v>689.91666666666663</v>
      </c>
      <c r="F84" s="4">
        <v>1.232083333333333</v>
      </c>
      <c r="G84" s="4">
        <v>21.11708333333333</v>
      </c>
      <c r="H84" s="4">
        <v>32.338333333333331</v>
      </c>
      <c r="I84" s="4">
        <v>0</v>
      </c>
      <c r="J84" s="4">
        <v>0</v>
      </c>
      <c r="K84" s="6">
        <v>0.2</v>
      </c>
      <c r="L84" s="4">
        <v>0</v>
      </c>
      <c r="M84" s="4">
        <v>1264.7</v>
      </c>
      <c r="N84" s="8">
        <f t="shared" si="2"/>
        <v>767.80000000000018</v>
      </c>
      <c r="P84" s="4">
        <v>0.2</v>
      </c>
      <c r="Q84" s="4">
        <v>7212.8</v>
      </c>
      <c r="R84">
        <f t="shared" si="3"/>
        <v>0.99714285714285733</v>
      </c>
    </row>
    <row r="85" spans="1:18">
      <c r="A85" s="2">
        <v>45527</v>
      </c>
      <c r="B85" s="4">
        <v>33.96</v>
      </c>
      <c r="C85" s="4">
        <v>26.81</v>
      </c>
      <c r="D85" s="4">
        <v>83.976666666666674</v>
      </c>
      <c r="E85" s="4">
        <v>606.66666666666663</v>
      </c>
      <c r="F85" s="4">
        <v>1.3225</v>
      </c>
      <c r="G85" s="4">
        <v>21.576250000000002</v>
      </c>
      <c r="H85" s="4">
        <v>32.440833333333337</v>
      </c>
      <c r="I85" s="4">
        <v>0</v>
      </c>
      <c r="J85" s="4">
        <v>0</v>
      </c>
      <c r="K85" s="6">
        <v>0</v>
      </c>
      <c r="L85" s="4">
        <v>0</v>
      </c>
      <c r="M85" s="4">
        <v>816.5</v>
      </c>
      <c r="N85" s="8">
        <f t="shared" si="2"/>
        <v>490</v>
      </c>
      <c r="P85" s="4">
        <v>0</v>
      </c>
      <c r="Q85" s="4">
        <v>7702.8</v>
      </c>
      <c r="R85">
        <f t="shared" si="3"/>
        <v>0.63636363636363635</v>
      </c>
    </row>
    <row r="86" spans="1:18">
      <c r="A86" s="2">
        <v>45528</v>
      </c>
      <c r="B86" s="4">
        <v>34.21</v>
      </c>
      <c r="C86" s="4">
        <v>26.59</v>
      </c>
      <c r="D86" s="4">
        <v>85.25333333333333</v>
      </c>
      <c r="E86" s="4">
        <v>621.79166666666663</v>
      </c>
      <c r="F86" s="4">
        <v>1.472083333333333</v>
      </c>
      <c r="G86" s="4">
        <v>19.833749999999998</v>
      </c>
      <c r="H86" s="4">
        <v>32.178333333333327</v>
      </c>
      <c r="I86" s="4">
        <v>0</v>
      </c>
      <c r="J86" s="4">
        <v>0</v>
      </c>
      <c r="K86" s="6">
        <v>0</v>
      </c>
      <c r="L86" s="4">
        <v>0</v>
      </c>
      <c r="M86" s="4">
        <v>883.9</v>
      </c>
      <c r="N86" s="8">
        <f t="shared" si="2"/>
        <v>524.99999999999909</v>
      </c>
      <c r="P86" s="4">
        <v>0</v>
      </c>
      <c r="Q86" s="4">
        <v>8227.7999999999993</v>
      </c>
      <c r="R86">
        <f t="shared" si="3"/>
        <v>0.68181818181818066</v>
      </c>
    </row>
    <row r="87" spans="1:18">
      <c r="A87" s="2">
        <v>45529</v>
      </c>
      <c r="B87" s="4">
        <v>33.99</v>
      </c>
      <c r="C87" s="4">
        <v>25.42</v>
      </c>
      <c r="D87" s="4">
        <v>80.297499999999999</v>
      </c>
      <c r="E87" s="4">
        <v>631.375</v>
      </c>
      <c r="F87" s="4">
        <v>1.0408333333333331</v>
      </c>
      <c r="G87" s="4">
        <v>20.155000000000001</v>
      </c>
      <c r="H87" s="4">
        <v>33.837499999999999</v>
      </c>
      <c r="I87" s="4">
        <v>0</v>
      </c>
      <c r="J87" s="4">
        <v>0</v>
      </c>
      <c r="K87" s="6">
        <v>0.2</v>
      </c>
      <c r="L87" s="4">
        <v>0</v>
      </c>
      <c r="M87" s="4">
        <v>834.4</v>
      </c>
      <c r="N87" s="8">
        <f t="shared" si="2"/>
        <v>511.10000000000036</v>
      </c>
      <c r="P87" s="4">
        <v>0.2</v>
      </c>
      <c r="Q87" s="4">
        <v>8738.9</v>
      </c>
      <c r="R87">
        <f t="shared" si="3"/>
        <v>0.66376623376623423</v>
      </c>
    </row>
    <row r="88" spans="1:18">
      <c r="A88" s="2">
        <v>45530</v>
      </c>
      <c r="B88" s="4">
        <v>33.96</v>
      </c>
      <c r="C88" s="4">
        <v>26.89</v>
      </c>
      <c r="D88" s="4">
        <v>81.975416666666675</v>
      </c>
      <c r="E88" s="4">
        <v>620.875</v>
      </c>
      <c r="F88" s="4">
        <v>1.3512500000000001</v>
      </c>
      <c r="G88" s="4">
        <v>21.44583333333334</v>
      </c>
      <c r="H88" s="4">
        <v>34.190833333333337</v>
      </c>
      <c r="I88" s="4">
        <v>0</v>
      </c>
      <c r="J88" s="4">
        <v>0</v>
      </c>
      <c r="K88" s="6">
        <v>0</v>
      </c>
      <c r="L88" s="4">
        <v>0</v>
      </c>
      <c r="M88" s="4">
        <v>821.9</v>
      </c>
      <c r="N88" s="8">
        <f t="shared" si="2"/>
        <v>495.30000000000109</v>
      </c>
      <c r="P88" s="4">
        <v>0</v>
      </c>
      <c r="Q88" s="4">
        <v>9234.2000000000007</v>
      </c>
      <c r="R88">
        <f t="shared" si="3"/>
        <v>0.64324675324675462</v>
      </c>
    </row>
    <row r="89" spans="1:18">
      <c r="A89" s="2">
        <v>45531</v>
      </c>
      <c r="B89" s="4">
        <v>34.07</v>
      </c>
      <c r="C89" s="4">
        <v>26.3</v>
      </c>
      <c r="D89" s="4">
        <v>81.633750000000006</v>
      </c>
      <c r="E89" s="4">
        <v>617.5</v>
      </c>
      <c r="F89" s="4">
        <v>1.5595833333333331</v>
      </c>
      <c r="G89" s="4">
        <v>20.536249999999999</v>
      </c>
      <c r="H89" s="4">
        <v>33.432083333333331</v>
      </c>
      <c r="I89" s="4">
        <v>0</v>
      </c>
      <c r="J89" s="4">
        <v>0</v>
      </c>
      <c r="K89" s="6">
        <v>0</v>
      </c>
      <c r="L89" s="4">
        <v>0</v>
      </c>
      <c r="M89" s="4">
        <v>444.7</v>
      </c>
      <c r="N89" s="8">
        <f t="shared" si="2"/>
        <v>269.89999999999964</v>
      </c>
      <c r="P89" s="4">
        <v>0</v>
      </c>
      <c r="Q89" s="4">
        <v>9504.1</v>
      </c>
      <c r="R89">
        <f t="shared" si="3"/>
        <v>0.35051948051948006</v>
      </c>
    </row>
    <row r="90" spans="1:18">
      <c r="A90" s="2">
        <v>45532</v>
      </c>
      <c r="B90" s="4">
        <v>34.76</v>
      </c>
      <c r="C90" s="4">
        <v>26.63</v>
      </c>
      <c r="D90" s="4">
        <v>81.078749999999999</v>
      </c>
      <c r="E90" s="4">
        <v>697.875</v>
      </c>
      <c r="F90" s="4">
        <v>2.0558333333333332</v>
      </c>
      <c r="G90" s="4">
        <v>22.53833333333333</v>
      </c>
      <c r="H90" s="4">
        <v>34.733750000000001</v>
      </c>
      <c r="I90" s="4">
        <v>0</v>
      </c>
      <c r="J90" s="4">
        <v>0</v>
      </c>
      <c r="K90" s="6">
        <v>0</v>
      </c>
      <c r="L90" s="4">
        <v>0</v>
      </c>
      <c r="M90" s="4">
        <v>0</v>
      </c>
      <c r="N90" s="8">
        <f t="shared" si="2"/>
        <v>0</v>
      </c>
      <c r="P90" s="4">
        <v>0</v>
      </c>
      <c r="Q90" s="4">
        <v>9504.1</v>
      </c>
      <c r="R90">
        <f t="shared" si="3"/>
        <v>0</v>
      </c>
    </row>
    <row r="91" spans="1:18">
      <c r="A91" s="2">
        <v>45533</v>
      </c>
      <c r="B91" s="4">
        <v>35.68</v>
      </c>
      <c r="C91" s="4">
        <v>27.4</v>
      </c>
      <c r="D91" s="4">
        <v>81.844999999999999</v>
      </c>
      <c r="E91" s="4">
        <v>604.04166666666663</v>
      </c>
      <c r="F91" s="4">
        <v>1.7841666666666669</v>
      </c>
      <c r="G91" s="4">
        <v>17.516666666666669</v>
      </c>
      <c r="H91" s="4">
        <v>35.341250000000002</v>
      </c>
      <c r="I91" s="4">
        <v>0</v>
      </c>
      <c r="J91" s="4">
        <v>0</v>
      </c>
      <c r="K91" s="6">
        <v>0</v>
      </c>
      <c r="L91" s="4">
        <v>0</v>
      </c>
      <c r="M91" s="4">
        <v>0</v>
      </c>
      <c r="N91" s="8">
        <f t="shared" si="2"/>
        <v>0</v>
      </c>
      <c r="P91" s="4">
        <v>0</v>
      </c>
      <c r="Q91" s="4">
        <v>9504.1</v>
      </c>
      <c r="R91">
        <f t="shared" si="3"/>
        <v>0</v>
      </c>
    </row>
    <row r="92" spans="1:18">
      <c r="A92" s="2">
        <v>45534</v>
      </c>
      <c r="B92" s="4">
        <v>35.42</v>
      </c>
      <c r="C92" s="4">
        <v>26.26</v>
      </c>
      <c r="D92" s="4">
        <v>82.014166666666668</v>
      </c>
      <c r="E92" s="4">
        <v>500.04166666666669</v>
      </c>
      <c r="F92" s="4">
        <v>1.1579166666666669</v>
      </c>
      <c r="G92" s="4">
        <v>18.34708333333333</v>
      </c>
      <c r="H92" s="4">
        <v>35.271250000000002</v>
      </c>
      <c r="I92" s="4">
        <v>0</v>
      </c>
      <c r="J92" s="4">
        <v>0</v>
      </c>
      <c r="K92" s="6">
        <v>0.2</v>
      </c>
      <c r="L92" s="4">
        <v>0</v>
      </c>
      <c r="M92" s="4">
        <v>0</v>
      </c>
      <c r="N92" s="8">
        <f t="shared" si="2"/>
        <v>0</v>
      </c>
      <c r="P92" s="4">
        <v>0.2</v>
      </c>
      <c r="Q92" s="4">
        <v>9504.1</v>
      </c>
      <c r="R92">
        <f t="shared" si="3"/>
        <v>0</v>
      </c>
    </row>
    <row r="93" spans="1:18">
      <c r="A93" s="2">
        <v>45535</v>
      </c>
      <c r="B93" s="4">
        <v>34.65</v>
      </c>
      <c r="C93" s="4">
        <v>27.51</v>
      </c>
      <c r="D93" s="4">
        <v>82.542500000000004</v>
      </c>
      <c r="E93" s="4">
        <v>619.95833333333337</v>
      </c>
      <c r="F93" s="4">
        <v>1.444166666666667</v>
      </c>
      <c r="G93" s="4">
        <v>18.73458333333333</v>
      </c>
      <c r="H93" s="4">
        <v>36.126666666666672</v>
      </c>
      <c r="I93" s="4">
        <v>0</v>
      </c>
      <c r="J93" s="4">
        <v>0</v>
      </c>
      <c r="K93" s="6">
        <v>0</v>
      </c>
      <c r="L93" s="4">
        <v>0</v>
      </c>
      <c r="M93" s="4">
        <v>0</v>
      </c>
      <c r="N93" s="8">
        <f t="shared" si="2"/>
        <v>0</v>
      </c>
      <c r="P93" s="4">
        <v>0</v>
      </c>
      <c r="Q93" s="4">
        <v>9504.1</v>
      </c>
      <c r="R93">
        <f t="shared" si="3"/>
        <v>0</v>
      </c>
    </row>
    <row r="94" spans="1:18">
      <c r="A94" s="2">
        <v>45536</v>
      </c>
      <c r="B94" s="4">
        <v>35.49</v>
      </c>
      <c r="C94" s="4">
        <v>26.34</v>
      </c>
      <c r="D94" s="4">
        <v>83.509583333333339</v>
      </c>
      <c r="E94" s="4">
        <v>518.04166666666663</v>
      </c>
      <c r="F94" s="4">
        <v>1.1425000000000001</v>
      </c>
      <c r="G94" s="4">
        <v>18.254999999999999</v>
      </c>
      <c r="H94" s="4">
        <v>35.187916666666673</v>
      </c>
      <c r="I94" s="4">
        <v>0</v>
      </c>
      <c r="J94" s="4">
        <v>0</v>
      </c>
      <c r="K94" s="6">
        <v>0</v>
      </c>
      <c r="L94" s="4">
        <v>0</v>
      </c>
      <c r="M94" s="4">
        <v>0</v>
      </c>
      <c r="N94" s="8">
        <f t="shared" si="2"/>
        <v>0</v>
      </c>
      <c r="P94" s="4">
        <v>0</v>
      </c>
      <c r="Q94" s="4">
        <v>9504.1</v>
      </c>
      <c r="R94">
        <f t="shared" si="3"/>
        <v>0</v>
      </c>
    </row>
    <row r="95" spans="1:18">
      <c r="A95" s="2">
        <v>45537</v>
      </c>
      <c r="B95" s="4">
        <v>34.51</v>
      </c>
      <c r="C95" s="4">
        <v>27</v>
      </c>
      <c r="D95" s="4">
        <v>83.814166666666665</v>
      </c>
      <c r="E95" s="4">
        <v>556</v>
      </c>
      <c r="F95" s="4">
        <v>1.219166666666667</v>
      </c>
      <c r="G95" s="4">
        <v>16.047499999999999</v>
      </c>
      <c r="H95" s="4">
        <v>35.685416666666669</v>
      </c>
      <c r="I95" s="4">
        <v>0</v>
      </c>
      <c r="J95" s="4">
        <v>0</v>
      </c>
      <c r="K95" s="6">
        <v>0</v>
      </c>
      <c r="L95" s="4">
        <v>0</v>
      </c>
      <c r="M95" s="4">
        <v>414.8</v>
      </c>
      <c r="N95" s="8">
        <f t="shared" si="2"/>
        <v>284.5</v>
      </c>
      <c r="P95" s="4">
        <v>0</v>
      </c>
      <c r="Q95" s="4">
        <v>9788.6</v>
      </c>
      <c r="R95">
        <f t="shared" si="3"/>
        <v>0.36948051948051946</v>
      </c>
    </row>
    <row r="96" spans="1:18">
      <c r="A96" s="2">
        <v>45538</v>
      </c>
      <c r="B96" s="4">
        <v>35.020000000000003</v>
      </c>
      <c r="C96" s="4">
        <v>27.77</v>
      </c>
      <c r="D96" s="4">
        <v>84.228750000000005</v>
      </c>
      <c r="E96" s="4">
        <v>535.70833333333337</v>
      </c>
      <c r="F96" s="4">
        <v>1.885833333333333</v>
      </c>
      <c r="G96" s="4">
        <v>17.608333333333331</v>
      </c>
      <c r="H96" s="4">
        <v>34.719166666666673</v>
      </c>
      <c r="I96" s="4">
        <v>0</v>
      </c>
      <c r="J96" s="4">
        <v>0</v>
      </c>
      <c r="K96" s="6">
        <v>0</v>
      </c>
      <c r="L96" s="4">
        <v>0</v>
      </c>
      <c r="M96" s="4">
        <v>0</v>
      </c>
      <c r="N96" s="8">
        <f t="shared" si="2"/>
        <v>0</v>
      </c>
      <c r="P96" s="4">
        <v>0</v>
      </c>
      <c r="Q96" s="4">
        <v>9788.6</v>
      </c>
      <c r="R96">
        <f t="shared" si="3"/>
        <v>0</v>
      </c>
    </row>
    <row r="97" spans="1:18">
      <c r="A97" s="2">
        <v>45539</v>
      </c>
      <c r="B97" s="4">
        <v>35.97</v>
      </c>
      <c r="C97" s="4">
        <v>27.25</v>
      </c>
      <c r="D97" s="4">
        <v>83.175416666666663</v>
      </c>
      <c r="E97" s="4">
        <v>487</v>
      </c>
      <c r="F97" s="4">
        <v>1.0966666666666669</v>
      </c>
      <c r="G97" s="4">
        <v>16.51541666666667</v>
      </c>
      <c r="H97" s="4">
        <v>34.71125</v>
      </c>
      <c r="I97" s="4">
        <v>0</v>
      </c>
      <c r="J97" s="4">
        <v>0</v>
      </c>
      <c r="K97" s="6">
        <v>0</v>
      </c>
      <c r="L97" s="4">
        <v>0</v>
      </c>
      <c r="M97" s="4">
        <v>0</v>
      </c>
      <c r="N97" s="8">
        <f t="shared" si="2"/>
        <v>0</v>
      </c>
      <c r="P97" s="4">
        <v>0</v>
      </c>
      <c r="Q97" s="4">
        <v>9788.6</v>
      </c>
      <c r="R97">
        <f t="shared" si="3"/>
        <v>0</v>
      </c>
    </row>
    <row r="98" spans="1:18">
      <c r="A98" s="2">
        <v>45540</v>
      </c>
      <c r="B98" s="4">
        <v>36.450000000000003</v>
      </c>
      <c r="C98" s="4">
        <v>25.13</v>
      </c>
      <c r="D98" s="4">
        <v>87.87458333333332</v>
      </c>
      <c r="E98" s="4">
        <v>361</v>
      </c>
      <c r="F98" s="4">
        <v>1.174166666666667</v>
      </c>
      <c r="G98" s="4">
        <v>21.959166666666661</v>
      </c>
      <c r="H98" s="4">
        <v>32.094999999999999</v>
      </c>
      <c r="I98" s="4">
        <v>0</v>
      </c>
      <c r="J98" s="4">
        <v>1.666666666666667E-3</v>
      </c>
      <c r="K98" s="6">
        <v>24.4</v>
      </c>
      <c r="L98" s="4">
        <v>0</v>
      </c>
      <c r="M98" s="4">
        <v>0</v>
      </c>
      <c r="N98" s="8">
        <f t="shared" si="2"/>
        <v>0</v>
      </c>
      <c r="P98" s="4">
        <v>24.4</v>
      </c>
      <c r="Q98" s="4">
        <v>9788.6</v>
      </c>
      <c r="R98">
        <f t="shared" si="3"/>
        <v>0</v>
      </c>
    </row>
    <row r="99" spans="1:18">
      <c r="A99" s="2">
        <v>45541</v>
      </c>
      <c r="B99" s="4">
        <v>34.76</v>
      </c>
      <c r="C99" s="4">
        <v>25.79</v>
      </c>
      <c r="D99" s="4">
        <v>86.497916666666654</v>
      </c>
      <c r="E99" s="4">
        <v>554.125</v>
      </c>
      <c r="F99" s="4">
        <v>1.2783333333333331</v>
      </c>
      <c r="G99" s="4">
        <v>17.56208333333333</v>
      </c>
      <c r="H99" s="4">
        <v>32.516249999999999</v>
      </c>
      <c r="I99" s="4">
        <v>0</v>
      </c>
      <c r="J99" s="4">
        <v>3.3333333333333332E-4</v>
      </c>
      <c r="K99" s="6">
        <v>0</v>
      </c>
      <c r="L99" s="4">
        <v>0</v>
      </c>
      <c r="M99" s="4">
        <v>0</v>
      </c>
      <c r="N99" s="8">
        <f t="shared" si="2"/>
        <v>0</v>
      </c>
      <c r="P99" s="4">
        <v>0</v>
      </c>
      <c r="Q99" s="4">
        <v>9788.6</v>
      </c>
      <c r="R99">
        <f t="shared" si="3"/>
        <v>0</v>
      </c>
    </row>
    <row r="100" spans="1:18">
      <c r="A100" s="2">
        <v>45542</v>
      </c>
      <c r="B100" s="4">
        <v>33.44</v>
      </c>
      <c r="C100" s="4">
        <v>26.34</v>
      </c>
      <c r="D100" s="4">
        <v>87.099583333333328</v>
      </c>
      <c r="E100" s="4">
        <v>405.25</v>
      </c>
      <c r="F100" s="4">
        <v>1.40625</v>
      </c>
      <c r="G100" s="4">
        <v>18.798749999999998</v>
      </c>
      <c r="H100" s="4">
        <v>31.583333333333329</v>
      </c>
      <c r="I100" s="4">
        <v>0</v>
      </c>
      <c r="J100" s="4">
        <v>0</v>
      </c>
      <c r="K100" s="6">
        <v>0</v>
      </c>
      <c r="L100" s="4">
        <v>0</v>
      </c>
      <c r="M100" s="4">
        <v>0</v>
      </c>
      <c r="N100" s="8">
        <f t="shared" si="2"/>
        <v>0</v>
      </c>
      <c r="P100" s="4">
        <v>0</v>
      </c>
      <c r="Q100" s="4">
        <v>9788.6</v>
      </c>
      <c r="R100">
        <f t="shared" si="3"/>
        <v>0</v>
      </c>
    </row>
    <row r="101" spans="1:18">
      <c r="A101" s="2">
        <v>45543</v>
      </c>
      <c r="B101" s="4">
        <v>32.380000000000003</v>
      </c>
      <c r="C101" s="4">
        <v>23.44</v>
      </c>
      <c r="D101" s="4">
        <v>89.532916666666665</v>
      </c>
      <c r="E101" s="4">
        <v>395.625</v>
      </c>
      <c r="F101" s="4">
        <v>1.2383333333333331</v>
      </c>
      <c r="G101" s="4">
        <v>15.45166666666667</v>
      </c>
      <c r="H101" s="4">
        <v>31.40958333333333</v>
      </c>
      <c r="I101" s="4">
        <v>0.22166666666666671</v>
      </c>
      <c r="J101" s="4">
        <v>0</v>
      </c>
      <c r="K101" s="6">
        <v>12.2</v>
      </c>
      <c r="L101" s="4">
        <v>0</v>
      </c>
      <c r="M101" s="4">
        <v>0</v>
      </c>
      <c r="N101" s="8">
        <f t="shared" si="2"/>
        <v>0</v>
      </c>
      <c r="P101" s="4">
        <v>12.2</v>
      </c>
      <c r="Q101" s="4">
        <v>9788.6</v>
      </c>
      <c r="R101">
        <f t="shared" si="3"/>
        <v>0</v>
      </c>
    </row>
    <row r="102" spans="1:18">
      <c r="A102" s="2">
        <v>45544</v>
      </c>
      <c r="B102" s="4">
        <v>33.590000000000003</v>
      </c>
      <c r="C102" s="4">
        <v>24.76</v>
      </c>
      <c r="D102" s="4">
        <v>92.305833333333339</v>
      </c>
      <c r="E102" s="4">
        <v>431.95833333333331</v>
      </c>
      <c r="F102" s="4">
        <v>1.08</v>
      </c>
      <c r="G102" s="4">
        <v>17.631250000000001</v>
      </c>
      <c r="H102" s="4">
        <v>30.217916666666671</v>
      </c>
      <c r="I102" s="4">
        <v>0</v>
      </c>
      <c r="J102" s="4">
        <v>2.4583333333333332E-3</v>
      </c>
      <c r="K102" s="6">
        <v>7</v>
      </c>
      <c r="L102" s="4">
        <v>0</v>
      </c>
      <c r="M102" s="4">
        <v>0</v>
      </c>
      <c r="N102" s="8">
        <f t="shared" si="2"/>
        <v>0</v>
      </c>
      <c r="P102" s="4">
        <v>7</v>
      </c>
      <c r="Q102" s="4">
        <v>9788.6</v>
      </c>
      <c r="R102">
        <f t="shared" si="3"/>
        <v>0</v>
      </c>
    </row>
    <row r="103" spans="1:18">
      <c r="A103" s="2">
        <v>45545</v>
      </c>
      <c r="B103" s="4">
        <v>33.19</v>
      </c>
      <c r="C103" s="4">
        <v>24.62</v>
      </c>
      <c r="D103" s="4">
        <v>87.919583333333335</v>
      </c>
      <c r="E103" s="4">
        <v>683.25</v>
      </c>
      <c r="F103" s="4">
        <v>1.372916666666667</v>
      </c>
      <c r="G103" s="4">
        <v>16.376249999999999</v>
      </c>
      <c r="H103" s="4">
        <v>31.83958333333333</v>
      </c>
      <c r="I103" s="4">
        <v>0</v>
      </c>
      <c r="J103" s="4">
        <v>1.1249999999999999E-3</v>
      </c>
      <c r="K103" s="6">
        <v>0</v>
      </c>
      <c r="L103" s="4">
        <v>0</v>
      </c>
      <c r="M103" s="4">
        <v>0</v>
      </c>
      <c r="N103" s="8">
        <f t="shared" si="2"/>
        <v>0</v>
      </c>
      <c r="P103" s="4">
        <v>0</v>
      </c>
      <c r="Q103" s="4">
        <v>9788.6</v>
      </c>
      <c r="R103">
        <f t="shared" si="3"/>
        <v>0</v>
      </c>
    </row>
    <row r="104" spans="1:18">
      <c r="A104" s="2">
        <v>45546</v>
      </c>
      <c r="B104" s="4">
        <v>33.19</v>
      </c>
      <c r="C104" s="4">
        <v>26.41</v>
      </c>
      <c r="D104" s="4">
        <v>86.486249999999998</v>
      </c>
      <c r="E104" s="4">
        <v>438.25</v>
      </c>
      <c r="F104" s="4">
        <v>1.1295833333333329</v>
      </c>
      <c r="G104" s="4">
        <v>19.61708333333333</v>
      </c>
      <c r="H104" s="4">
        <v>32.517499999999998</v>
      </c>
      <c r="I104" s="4">
        <v>0</v>
      </c>
      <c r="J104" s="4">
        <v>0</v>
      </c>
      <c r="K104" s="6">
        <v>0</v>
      </c>
      <c r="L104" s="4">
        <v>0</v>
      </c>
      <c r="M104" s="4">
        <v>0</v>
      </c>
      <c r="N104" s="8">
        <f t="shared" si="2"/>
        <v>0</v>
      </c>
      <c r="P104" s="4">
        <v>0</v>
      </c>
      <c r="Q104" s="4">
        <v>9788.6</v>
      </c>
      <c r="R104">
        <f t="shared" si="3"/>
        <v>0</v>
      </c>
    </row>
    <row r="105" spans="1:18">
      <c r="A105" s="2">
        <v>45547</v>
      </c>
      <c r="B105" s="4">
        <v>32.270000000000003</v>
      </c>
      <c r="C105" s="4">
        <v>26.7</v>
      </c>
      <c r="D105" s="4">
        <v>89.492083333333326</v>
      </c>
      <c r="E105" s="4">
        <v>510.91666666666669</v>
      </c>
      <c r="F105" s="4">
        <v>1.524583333333333</v>
      </c>
      <c r="G105" s="4">
        <v>11.567916666666671</v>
      </c>
      <c r="H105" s="4">
        <v>32.318333333333342</v>
      </c>
      <c r="I105" s="4">
        <v>0</v>
      </c>
      <c r="J105" s="4">
        <v>0</v>
      </c>
      <c r="K105" s="6">
        <v>0</v>
      </c>
      <c r="L105" s="4">
        <v>0</v>
      </c>
      <c r="M105" s="4">
        <v>0</v>
      </c>
      <c r="N105" s="8">
        <f t="shared" si="2"/>
        <v>0</v>
      </c>
      <c r="P105" s="4">
        <v>0</v>
      </c>
      <c r="Q105" s="4">
        <v>9788.6</v>
      </c>
      <c r="R105">
        <f t="shared" si="3"/>
        <v>0</v>
      </c>
    </row>
    <row r="106" spans="1:18">
      <c r="A106" s="2">
        <v>45548</v>
      </c>
      <c r="B106" s="4">
        <v>34.29</v>
      </c>
      <c r="C106" s="4">
        <v>25.64</v>
      </c>
      <c r="D106" s="4">
        <v>85.282916666666665</v>
      </c>
      <c r="E106" s="4">
        <v>473.79166666666669</v>
      </c>
      <c r="F106" s="4">
        <v>1.622916666666667</v>
      </c>
      <c r="G106" s="4">
        <v>18.224583333333332</v>
      </c>
      <c r="H106" s="4">
        <v>32.807499999999997</v>
      </c>
      <c r="I106" s="4">
        <v>0</v>
      </c>
      <c r="J106" s="4">
        <v>0</v>
      </c>
      <c r="K106" s="6">
        <v>0</v>
      </c>
      <c r="L106" s="4">
        <v>0</v>
      </c>
      <c r="M106" s="4">
        <v>0</v>
      </c>
      <c r="N106" s="8">
        <f t="shared" si="2"/>
        <v>0</v>
      </c>
      <c r="P106" s="4">
        <v>0</v>
      </c>
      <c r="Q106" s="4">
        <v>9788.6</v>
      </c>
      <c r="R106">
        <f t="shared" si="3"/>
        <v>0</v>
      </c>
    </row>
    <row r="107" spans="1:18">
      <c r="A107" s="2">
        <v>45549</v>
      </c>
      <c r="B107" s="4">
        <v>32.67</v>
      </c>
      <c r="C107" s="4">
        <v>22.89</v>
      </c>
      <c r="D107" s="4">
        <v>91.789166666666674</v>
      </c>
      <c r="E107" s="4">
        <v>229.20833333333329</v>
      </c>
      <c r="F107" s="4">
        <v>0.76458333333333339</v>
      </c>
      <c r="G107" s="4">
        <v>17.263333333333328</v>
      </c>
      <c r="H107" s="4">
        <v>28.251666666666669</v>
      </c>
      <c r="I107" s="4">
        <v>0</v>
      </c>
      <c r="J107" s="4">
        <v>0</v>
      </c>
      <c r="K107" s="6">
        <v>85.4</v>
      </c>
      <c r="L107" s="4">
        <v>0</v>
      </c>
      <c r="M107" s="4">
        <v>0</v>
      </c>
      <c r="N107" s="8">
        <f t="shared" si="2"/>
        <v>0</v>
      </c>
      <c r="P107" s="4">
        <v>85.4</v>
      </c>
      <c r="Q107" s="4">
        <v>9788.6</v>
      </c>
      <c r="R107">
        <f t="shared" si="3"/>
        <v>0</v>
      </c>
    </row>
    <row r="108" spans="1:18">
      <c r="A108" s="2">
        <v>45550</v>
      </c>
      <c r="B108" s="4">
        <v>34.619999999999997</v>
      </c>
      <c r="C108" s="4">
        <v>23.19</v>
      </c>
      <c r="D108" s="4">
        <v>85.823750000000004</v>
      </c>
      <c r="E108" s="4">
        <v>623.95833333333337</v>
      </c>
      <c r="F108" s="4">
        <v>0.92291666666666661</v>
      </c>
      <c r="G108" s="4">
        <v>17.079999999999998</v>
      </c>
      <c r="H108" s="4">
        <v>31.32375</v>
      </c>
      <c r="I108" s="4">
        <v>0</v>
      </c>
      <c r="J108" s="4">
        <v>0</v>
      </c>
      <c r="K108" s="6">
        <v>0.2</v>
      </c>
      <c r="L108" s="4">
        <v>0</v>
      </c>
      <c r="M108" s="4">
        <v>0</v>
      </c>
      <c r="N108" s="8">
        <f t="shared" si="2"/>
        <v>0</v>
      </c>
      <c r="P108" s="4">
        <v>0.2</v>
      </c>
      <c r="Q108" s="4">
        <v>9788.6</v>
      </c>
      <c r="R108">
        <f t="shared" si="3"/>
        <v>0</v>
      </c>
    </row>
    <row r="109" spans="1:18">
      <c r="A109" s="2">
        <v>45551</v>
      </c>
      <c r="B109" s="4">
        <v>33.85</v>
      </c>
      <c r="C109" s="4">
        <v>25.53</v>
      </c>
      <c r="D109" s="4">
        <v>86.300833333333344</v>
      </c>
      <c r="E109" s="4">
        <v>631.79166666666663</v>
      </c>
      <c r="F109" s="4">
        <v>0.87208333333333332</v>
      </c>
      <c r="G109" s="4">
        <v>18.480833333333329</v>
      </c>
      <c r="H109" s="4">
        <v>32.620416666666657</v>
      </c>
      <c r="I109" s="4">
        <v>0</v>
      </c>
      <c r="J109" s="4">
        <v>0</v>
      </c>
      <c r="K109" s="6">
        <v>0</v>
      </c>
      <c r="L109" s="4">
        <v>0</v>
      </c>
      <c r="M109" s="4">
        <v>0</v>
      </c>
      <c r="N109" s="8">
        <f t="shared" si="2"/>
        <v>0</v>
      </c>
      <c r="P109" s="4">
        <v>0</v>
      </c>
      <c r="Q109" s="4">
        <v>9788.6</v>
      </c>
      <c r="R109">
        <f t="shared" si="3"/>
        <v>0</v>
      </c>
    </row>
    <row r="110" spans="1:18">
      <c r="A110" s="2">
        <v>45552</v>
      </c>
      <c r="B110" s="4">
        <v>35.130000000000003</v>
      </c>
      <c r="C110" s="4">
        <v>27.11</v>
      </c>
      <c r="D110" s="4">
        <v>84.834583333333327</v>
      </c>
      <c r="E110" s="4">
        <v>608.79166666666663</v>
      </c>
      <c r="F110" s="4">
        <v>0.95041666666666658</v>
      </c>
      <c r="G110" s="4">
        <v>17.24958333333333</v>
      </c>
      <c r="H110" s="4">
        <v>33.859583333333333</v>
      </c>
      <c r="I110" s="4">
        <v>0</v>
      </c>
      <c r="J110" s="4">
        <v>0</v>
      </c>
      <c r="K110" s="6">
        <v>0</v>
      </c>
      <c r="L110" s="4">
        <v>0</v>
      </c>
      <c r="M110" s="4">
        <v>0</v>
      </c>
      <c r="N110" s="8">
        <f t="shared" si="2"/>
        <v>0</v>
      </c>
      <c r="P110" s="4">
        <v>0</v>
      </c>
      <c r="Q110" s="4">
        <v>9788.6</v>
      </c>
      <c r="R110">
        <f t="shared" si="3"/>
        <v>0</v>
      </c>
    </row>
    <row r="111" spans="1:18">
      <c r="A111" s="2">
        <v>45553</v>
      </c>
      <c r="B111" s="4">
        <v>33.96</v>
      </c>
      <c r="C111" s="4">
        <v>26.41</v>
      </c>
      <c r="D111" s="4">
        <v>87.192499999999995</v>
      </c>
      <c r="E111" s="4">
        <v>350.5</v>
      </c>
      <c r="F111" s="4">
        <v>1.072916666666667</v>
      </c>
      <c r="G111" s="4">
        <v>15.64833333333333</v>
      </c>
      <c r="H111" s="4">
        <v>31.8475</v>
      </c>
      <c r="I111" s="4">
        <v>0</v>
      </c>
      <c r="J111" s="4">
        <v>0</v>
      </c>
      <c r="K111" s="6">
        <v>0</v>
      </c>
      <c r="L111" s="4">
        <v>0</v>
      </c>
      <c r="M111" s="4">
        <v>0</v>
      </c>
      <c r="N111" s="8">
        <f t="shared" si="2"/>
        <v>0</v>
      </c>
      <c r="P111" s="4">
        <v>0</v>
      </c>
      <c r="Q111" s="4">
        <v>9788.6</v>
      </c>
      <c r="R111">
        <f t="shared" si="3"/>
        <v>0</v>
      </c>
    </row>
    <row r="112" spans="1:18">
      <c r="A112" s="2">
        <v>45554</v>
      </c>
      <c r="B112" s="4">
        <v>34.43</v>
      </c>
      <c r="C112" s="4">
        <v>26.19</v>
      </c>
      <c r="D112" s="4">
        <v>85.13333333333334</v>
      </c>
      <c r="E112" s="4">
        <v>574.45833333333337</v>
      </c>
      <c r="F112" s="4">
        <v>1.76125</v>
      </c>
      <c r="G112" s="4">
        <v>18.169166666666669</v>
      </c>
      <c r="H112" s="4">
        <v>33.30833333333333</v>
      </c>
      <c r="I112" s="4">
        <v>0</v>
      </c>
      <c r="J112" s="4">
        <v>0</v>
      </c>
      <c r="K112" s="6">
        <v>0</v>
      </c>
      <c r="L112" s="4">
        <v>0</v>
      </c>
      <c r="M112" s="4">
        <v>0</v>
      </c>
      <c r="N112" s="8">
        <f t="shared" si="2"/>
        <v>0</v>
      </c>
      <c r="P112" s="4">
        <v>0</v>
      </c>
      <c r="Q112" s="4">
        <v>9788.6</v>
      </c>
      <c r="R112">
        <f t="shared" si="3"/>
        <v>0</v>
      </c>
    </row>
    <row r="113" spans="1:18">
      <c r="A113" s="2">
        <v>45555</v>
      </c>
      <c r="B113" s="4">
        <v>35.130000000000003</v>
      </c>
      <c r="C113" s="4">
        <v>25.24</v>
      </c>
      <c r="D113" s="4">
        <v>91.260833333333338</v>
      </c>
      <c r="E113" s="4">
        <v>297.04166666666669</v>
      </c>
      <c r="F113" s="4">
        <v>1.0175000000000001</v>
      </c>
      <c r="G113" s="4">
        <v>17.661666666666669</v>
      </c>
      <c r="H113" s="4">
        <v>30.57083333333334</v>
      </c>
      <c r="I113" s="4">
        <v>0</v>
      </c>
      <c r="J113" s="4">
        <v>0</v>
      </c>
      <c r="K113" s="6">
        <v>61.2</v>
      </c>
      <c r="L113" s="4">
        <v>0</v>
      </c>
      <c r="M113" s="4">
        <v>0</v>
      </c>
      <c r="N113" s="8">
        <f t="shared" si="2"/>
        <v>0</v>
      </c>
      <c r="P113" s="4">
        <v>61.2</v>
      </c>
      <c r="Q113" s="4">
        <v>9788.6</v>
      </c>
      <c r="R113">
        <f t="shared" si="3"/>
        <v>0</v>
      </c>
    </row>
    <row r="114" spans="1:18">
      <c r="A114" s="2">
        <v>45556</v>
      </c>
      <c r="B114" s="4">
        <v>30.73</v>
      </c>
      <c r="C114" s="4">
        <v>25.79</v>
      </c>
      <c r="D114" s="4">
        <v>94.204166666666666</v>
      </c>
      <c r="E114" s="4">
        <v>212.375</v>
      </c>
      <c r="F114" s="4">
        <v>0.75125000000000008</v>
      </c>
      <c r="G114" s="4">
        <v>13.04083333333333</v>
      </c>
      <c r="H114" s="4">
        <v>28.735416666666669</v>
      </c>
      <c r="I114" s="4">
        <v>0</v>
      </c>
      <c r="J114" s="4">
        <v>0</v>
      </c>
      <c r="K114" s="6">
        <v>2.8</v>
      </c>
      <c r="L114" s="4">
        <v>0</v>
      </c>
      <c r="M114" s="4">
        <v>0</v>
      </c>
      <c r="N114" s="8">
        <f t="shared" si="2"/>
        <v>0</v>
      </c>
      <c r="P114" s="4">
        <v>2.8</v>
      </c>
      <c r="Q114" s="4">
        <v>9788.6</v>
      </c>
      <c r="R114">
        <f t="shared" si="3"/>
        <v>0</v>
      </c>
    </row>
    <row r="115" spans="1:18">
      <c r="A115" s="2">
        <v>45557</v>
      </c>
      <c r="B115" s="4">
        <v>28.57</v>
      </c>
      <c r="C115" s="4">
        <v>24.36</v>
      </c>
      <c r="D115" s="4">
        <v>97.33</v>
      </c>
      <c r="E115" s="4">
        <v>148.875</v>
      </c>
      <c r="F115" s="4">
        <v>2.6983333333333341</v>
      </c>
      <c r="G115" s="4">
        <v>18.638750000000002</v>
      </c>
      <c r="H115" s="4">
        <v>25.85083333333333</v>
      </c>
      <c r="I115" s="4">
        <v>0</v>
      </c>
      <c r="J115" s="4">
        <v>0</v>
      </c>
      <c r="K115" s="6">
        <v>58.2</v>
      </c>
      <c r="L115" s="4">
        <v>0</v>
      </c>
      <c r="M115" s="4">
        <v>0</v>
      </c>
      <c r="N115" s="8">
        <f t="shared" si="2"/>
        <v>0</v>
      </c>
      <c r="P115" s="4">
        <v>58.2</v>
      </c>
      <c r="Q115" s="4">
        <v>9788.6</v>
      </c>
      <c r="R115">
        <f t="shared" si="3"/>
        <v>0</v>
      </c>
    </row>
    <row r="116" spans="1:18">
      <c r="A116" s="2">
        <v>45558</v>
      </c>
      <c r="B116" s="4">
        <v>33.92</v>
      </c>
      <c r="C116" s="4">
        <v>24.73</v>
      </c>
      <c r="D116" s="4">
        <v>86.892499999999998</v>
      </c>
      <c r="E116" s="4">
        <v>502.91666666666669</v>
      </c>
      <c r="F116" s="4">
        <v>1.256666666666667</v>
      </c>
      <c r="G116" s="4">
        <v>20.85916666666667</v>
      </c>
      <c r="H116" s="4">
        <v>30.36</v>
      </c>
      <c r="I116" s="4">
        <v>0</v>
      </c>
      <c r="J116" s="4">
        <v>0</v>
      </c>
      <c r="K116" s="6">
        <v>1.4</v>
      </c>
      <c r="L116" s="4">
        <v>0</v>
      </c>
      <c r="M116" s="4">
        <v>0</v>
      </c>
      <c r="N116" s="8">
        <f t="shared" si="2"/>
        <v>0</v>
      </c>
      <c r="P116" s="4">
        <v>1.4</v>
      </c>
      <c r="Q116" s="4">
        <v>9788.6</v>
      </c>
      <c r="R116">
        <f t="shared" si="3"/>
        <v>0</v>
      </c>
    </row>
    <row r="117" spans="1:18">
      <c r="A117" s="2">
        <v>45559</v>
      </c>
      <c r="B117" s="4">
        <v>33.99</v>
      </c>
      <c r="C117" s="4">
        <v>25.27</v>
      </c>
      <c r="D117" s="4">
        <v>86.036249999999995</v>
      </c>
      <c r="E117" s="4">
        <v>533.66666666666663</v>
      </c>
      <c r="F117" s="4">
        <v>1.1891666666666669</v>
      </c>
      <c r="G117" s="4">
        <v>20.4575</v>
      </c>
      <c r="H117" s="4">
        <v>31.916666666666671</v>
      </c>
      <c r="I117" s="4">
        <v>0</v>
      </c>
      <c r="J117" s="4">
        <v>0</v>
      </c>
      <c r="K117" s="6">
        <v>0.2</v>
      </c>
      <c r="L117" s="4">
        <v>0</v>
      </c>
      <c r="M117" s="4">
        <v>0</v>
      </c>
      <c r="N117" s="8">
        <f t="shared" si="2"/>
        <v>0</v>
      </c>
      <c r="P117" s="4">
        <v>0.2</v>
      </c>
      <c r="Q117" s="4">
        <v>9788.6</v>
      </c>
      <c r="R117">
        <f t="shared" si="3"/>
        <v>0</v>
      </c>
    </row>
    <row r="118" spans="1:18">
      <c r="A118" s="2">
        <v>45560</v>
      </c>
      <c r="B118" s="4">
        <v>32.78</v>
      </c>
      <c r="C118" s="4">
        <v>25.82</v>
      </c>
      <c r="D118" s="4">
        <v>87.352083333333326</v>
      </c>
      <c r="E118" s="4">
        <v>398.79166666666669</v>
      </c>
      <c r="F118" s="4">
        <v>0.51250000000000007</v>
      </c>
      <c r="G118" s="4">
        <v>20.985416666666669</v>
      </c>
      <c r="H118" s="4">
        <v>31.095416666666669</v>
      </c>
      <c r="I118" s="4">
        <v>0</v>
      </c>
      <c r="J118" s="4">
        <v>0</v>
      </c>
      <c r="K118" s="6">
        <v>0</v>
      </c>
      <c r="L118" s="4">
        <v>0</v>
      </c>
      <c r="M118" s="4">
        <v>0</v>
      </c>
      <c r="N118" s="8">
        <f t="shared" si="2"/>
        <v>0</v>
      </c>
      <c r="P118" s="4">
        <v>0</v>
      </c>
      <c r="Q118" s="4">
        <v>9788.6</v>
      </c>
      <c r="R118">
        <f t="shared" si="3"/>
        <v>0</v>
      </c>
    </row>
    <row r="119" spans="1:18">
      <c r="A119" s="2">
        <v>45561</v>
      </c>
      <c r="B119" s="4">
        <v>32.380000000000003</v>
      </c>
      <c r="C119" s="4">
        <v>25.82</v>
      </c>
      <c r="D119" s="4">
        <v>89.372083333333322</v>
      </c>
      <c r="E119" s="4">
        <v>587.45833333333337</v>
      </c>
      <c r="F119" s="4">
        <v>1.6729166666666671</v>
      </c>
      <c r="G119" s="4">
        <v>16.884166666666669</v>
      </c>
      <c r="H119" s="4">
        <v>31.860416666666669</v>
      </c>
      <c r="I119" s="4">
        <v>0</v>
      </c>
      <c r="J119" s="4">
        <v>0</v>
      </c>
      <c r="K119" s="6">
        <v>0</v>
      </c>
      <c r="L119" s="4">
        <v>0</v>
      </c>
      <c r="M119" s="4">
        <v>0</v>
      </c>
      <c r="N119" s="8">
        <f t="shared" si="2"/>
        <v>0</v>
      </c>
      <c r="P119" s="4">
        <v>0</v>
      </c>
      <c r="Q119" s="4">
        <v>9788.6</v>
      </c>
      <c r="R119">
        <f t="shared" si="3"/>
        <v>0</v>
      </c>
    </row>
    <row r="120" spans="1:18">
      <c r="A120" s="2">
        <v>45562</v>
      </c>
      <c r="B120" s="4">
        <v>31.1</v>
      </c>
      <c r="C120" s="4">
        <v>25.79</v>
      </c>
      <c r="D120" s="4">
        <v>90.016249999999999</v>
      </c>
      <c r="E120" s="4">
        <v>393.08333333333331</v>
      </c>
      <c r="F120" s="4">
        <v>2.0679166666666671</v>
      </c>
      <c r="G120" s="4">
        <v>10.131666666666669</v>
      </c>
      <c r="H120" s="4">
        <v>30.21541666666667</v>
      </c>
      <c r="I120" s="4">
        <v>0</v>
      </c>
      <c r="J120" s="4">
        <v>0</v>
      </c>
      <c r="K120" s="6">
        <v>0</v>
      </c>
      <c r="L120" s="4">
        <v>0</v>
      </c>
      <c r="M120" s="4">
        <v>0</v>
      </c>
      <c r="N120" s="8">
        <f t="shared" si="2"/>
        <v>0</v>
      </c>
      <c r="P120" s="4">
        <v>0</v>
      </c>
      <c r="Q120" s="4">
        <v>9788.6</v>
      </c>
      <c r="R120">
        <f t="shared" si="3"/>
        <v>0</v>
      </c>
    </row>
    <row r="121" spans="1:18">
      <c r="A121" s="2">
        <v>45563</v>
      </c>
      <c r="B121" s="4">
        <v>33.08</v>
      </c>
      <c r="C121" s="4">
        <v>24.91</v>
      </c>
      <c r="D121" s="4">
        <v>86.495833333333337</v>
      </c>
      <c r="E121" s="4">
        <v>426.45833333333331</v>
      </c>
      <c r="F121" s="4">
        <v>2.6454166666666659</v>
      </c>
      <c r="G121" s="4">
        <v>13.91666666666667</v>
      </c>
      <c r="H121" s="4">
        <v>30.344999999999999</v>
      </c>
      <c r="I121" s="4">
        <v>0</v>
      </c>
      <c r="J121" s="4">
        <v>0</v>
      </c>
      <c r="K121" s="6">
        <v>0</v>
      </c>
      <c r="L121" s="4">
        <v>0</v>
      </c>
      <c r="M121" s="4">
        <v>0</v>
      </c>
      <c r="N121" s="8">
        <f t="shared" si="2"/>
        <v>0</v>
      </c>
      <c r="P121" s="4">
        <v>0</v>
      </c>
      <c r="Q121" s="4">
        <v>9788.6</v>
      </c>
      <c r="R121">
        <f t="shared" si="3"/>
        <v>0</v>
      </c>
    </row>
    <row r="122" spans="1:18">
      <c r="A122" s="2">
        <v>45564</v>
      </c>
      <c r="B122" s="4">
        <v>34.869999999999997</v>
      </c>
      <c r="C122" s="4">
        <v>24.47</v>
      </c>
      <c r="D122" s="4">
        <v>84.90625</v>
      </c>
      <c r="E122" s="4">
        <v>480.08333333333331</v>
      </c>
      <c r="F122" s="4">
        <v>0.68041666666666656</v>
      </c>
      <c r="G122" s="4">
        <v>15.4175</v>
      </c>
      <c r="H122" s="4">
        <v>32.010416666666657</v>
      </c>
      <c r="I122" s="4">
        <v>0</v>
      </c>
      <c r="J122" s="4">
        <v>0</v>
      </c>
      <c r="K122" s="6">
        <v>0</v>
      </c>
      <c r="L122" s="4">
        <v>0</v>
      </c>
      <c r="M122" s="4">
        <v>0</v>
      </c>
      <c r="N122" s="8">
        <f t="shared" si="2"/>
        <v>0</v>
      </c>
      <c r="P122" s="4">
        <v>0</v>
      </c>
      <c r="Q122" s="4">
        <v>9788.6</v>
      </c>
      <c r="R122">
        <f t="shared" si="3"/>
        <v>0</v>
      </c>
    </row>
    <row r="123" spans="1:18">
      <c r="A123" s="2">
        <v>45565</v>
      </c>
      <c r="B123" s="4">
        <v>34.619999999999997</v>
      </c>
      <c r="C123" s="4">
        <v>25.6</v>
      </c>
      <c r="D123" s="4">
        <v>85.932500000000005</v>
      </c>
      <c r="E123" s="4">
        <v>421.41666666666669</v>
      </c>
      <c r="F123" s="4">
        <v>0.64624999999999999</v>
      </c>
      <c r="G123" s="4">
        <v>17.489583333333329</v>
      </c>
      <c r="H123" s="4">
        <v>32.115000000000002</v>
      </c>
      <c r="I123" s="4">
        <v>0</v>
      </c>
      <c r="J123" s="4">
        <v>0</v>
      </c>
      <c r="K123" s="6">
        <v>0.2</v>
      </c>
      <c r="L123" s="4">
        <v>0</v>
      </c>
      <c r="M123" s="4">
        <v>0</v>
      </c>
      <c r="N123" s="8">
        <f t="shared" si="2"/>
        <v>0</v>
      </c>
      <c r="P123" s="4">
        <v>0.2</v>
      </c>
      <c r="Q123" s="4">
        <v>9788.6</v>
      </c>
      <c r="R123">
        <f t="shared" si="3"/>
        <v>0</v>
      </c>
    </row>
    <row r="124" spans="1:18">
      <c r="A124" s="2">
        <v>45566</v>
      </c>
      <c r="B124" s="4">
        <v>31.21</v>
      </c>
      <c r="C124" s="4">
        <v>26.56</v>
      </c>
      <c r="D124" s="4">
        <v>93.355833333333337</v>
      </c>
      <c r="E124" s="4">
        <v>244.04166666666671</v>
      </c>
      <c r="F124" s="4">
        <v>1.4412499999999999</v>
      </c>
      <c r="G124" s="4">
        <v>14.68166666666667</v>
      </c>
      <c r="H124" s="4">
        <v>29.916250000000002</v>
      </c>
      <c r="I124" s="4">
        <v>0</v>
      </c>
      <c r="J124" s="4">
        <v>0</v>
      </c>
      <c r="K124" s="6">
        <v>3</v>
      </c>
      <c r="L124" s="4">
        <v>0</v>
      </c>
      <c r="M124" s="4">
        <v>0</v>
      </c>
      <c r="N124" s="8">
        <f t="shared" si="2"/>
        <v>0</v>
      </c>
      <c r="P124" s="4">
        <v>3</v>
      </c>
      <c r="Q124" s="4">
        <v>9788.6</v>
      </c>
      <c r="R124">
        <f t="shared" si="3"/>
        <v>0</v>
      </c>
    </row>
    <row r="125" spans="1:18">
      <c r="A125" s="2">
        <v>45567</v>
      </c>
      <c r="B125" s="4">
        <v>27.77</v>
      </c>
      <c r="C125" s="4">
        <v>24.21</v>
      </c>
      <c r="D125" s="4">
        <v>90.05</v>
      </c>
      <c r="E125" s="4">
        <v>153.54166666666671</v>
      </c>
      <c r="F125" s="4">
        <v>4.9275000000000002</v>
      </c>
      <c r="G125" s="4">
        <v>10.04291666666667</v>
      </c>
      <c r="H125" s="4">
        <v>26.427499999999998</v>
      </c>
      <c r="I125" s="4">
        <v>0</v>
      </c>
      <c r="J125" s="4">
        <v>0</v>
      </c>
      <c r="K125" s="6">
        <v>5.6</v>
      </c>
      <c r="L125" s="4">
        <v>0</v>
      </c>
      <c r="M125" s="4">
        <v>0</v>
      </c>
      <c r="N125" s="8">
        <f t="shared" si="2"/>
        <v>0</v>
      </c>
      <c r="P125" s="4">
        <v>1.8</v>
      </c>
      <c r="Q125" s="4">
        <v>9788.6</v>
      </c>
      <c r="R125">
        <f t="shared" si="3"/>
        <v>0</v>
      </c>
    </row>
    <row r="126" spans="1:18">
      <c r="A126" s="2">
        <v>45568</v>
      </c>
      <c r="B126" s="4">
        <v>26.34</v>
      </c>
      <c r="C126" s="4">
        <v>23.55</v>
      </c>
      <c r="D126" s="4">
        <v>89.982916666666668</v>
      </c>
      <c r="E126" s="4">
        <v>149.58333333333329</v>
      </c>
      <c r="F126" s="4">
        <v>5.9058333333333337</v>
      </c>
      <c r="G126" s="4">
        <v>5.9725000000000001</v>
      </c>
      <c r="H126" s="4">
        <v>25.267083333333328</v>
      </c>
      <c r="I126" s="4">
        <v>0</v>
      </c>
      <c r="J126" s="4">
        <v>3.3333333333333332E-4</v>
      </c>
      <c r="K126" s="6">
        <v>0.2</v>
      </c>
      <c r="L126" s="4">
        <v>0</v>
      </c>
      <c r="M126" s="4">
        <v>0</v>
      </c>
      <c r="N126" s="8">
        <f t="shared" si="2"/>
        <v>0</v>
      </c>
      <c r="P126" s="4">
        <v>0.2</v>
      </c>
      <c r="Q126" s="4">
        <v>9788.6</v>
      </c>
      <c r="R126">
        <f t="shared" si="3"/>
        <v>0</v>
      </c>
    </row>
    <row r="127" spans="1:18">
      <c r="A127" s="2">
        <v>45569</v>
      </c>
      <c r="B127" s="4">
        <v>27.95</v>
      </c>
      <c r="C127" s="4">
        <v>23.04</v>
      </c>
      <c r="D127" s="4">
        <v>92.258750000000006</v>
      </c>
      <c r="E127" s="4">
        <v>409.08333333333331</v>
      </c>
      <c r="F127" s="4">
        <v>4.1170833333333334</v>
      </c>
      <c r="G127" s="4">
        <v>7.175416666666667</v>
      </c>
      <c r="H127" s="4">
        <v>26.467500000000001</v>
      </c>
      <c r="I127" s="4">
        <v>0</v>
      </c>
      <c r="J127" s="4">
        <v>1.5833333333333331E-3</v>
      </c>
      <c r="K127" s="6">
        <v>0.2</v>
      </c>
      <c r="L127" s="4">
        <v>0</v>
      </c>
      <c r="M127" s="4">
        <v>0</v>
      </c>
      <c r="N127" s="8">
        <f t="shared" si="2"/>
        <v>0</v>
      </c>
      <c r="P127" s="4">
        <v>0.2</v>
      </c>
      <c r="Q127" s="4">
        <v>9788.6</v>
      </c>
      <c r="R127">
        <f t="shared" si="3"/>
        <v>0</v>
      </c>
    </row>
    <row r="128" spans="1:18">
      <c r="A128" s="2">
        <v>45570</v>
      </c>
      <c r="B128" s="4">
        <v>29.41</v>
      </c>
      <c r="C128" s="4">
        <v>24.47</v>
      </c>
      <c r="D128" s="4">
        <v>93.372500000000002</v>
      </c>
      <c r="E128" s="4">
        <v>443.79166666666669</v>
      </c>
      <c r="F128" s="4">
        <v>2.967916666666667</v>
      </c>
      <c r="G128" s="4">
        <v>13.901666666666671</v>
      </c>
      <c r="H128" s="4">
        <v>28.395833333333329</v>
      </c>
      <c r="I128" s="4">
        <v>0</v>
      </c>
      <c r="J128" s="4">
        <v>0</v>
      </c>
      <c r="K128" s="6">
        <v>0</v>
      </c>
      <c r="L128" s="4">
        <v>0</v>
      </c>
      <c r="M128" s="4">
        <v>0</v>
      </c>
      <c r="N128" s="8">
        <f t="shared" si="2"/>
        <v>0</v>
      </c>
      <c r="P128" s="4">
        <v>0</v>
      </c>
      <c r="Q128" s="4">
        <v>9788.6</v>
      </c>
      <c r="R128">
        <f t="shared" si="3"/>
        <v>0</v>
      </c>
    </row>
    <row r="129" spans="1:18">
      <c r="A129" s="2">
        <v>45571</v>
      </c>
      <c r="B129" s="4">
        <v>33.04</v>
      </c>
      <c r="C129" s="4">
        <v>24.51</v>
      </c>
      <c r="D129" s="4">
        <v>88.367083333333326</v>
      </c>
      <c r="E129" s="4">
        <v>481.875</v>
      </c>
      <c r="F129" s="4">
        <v>0.65083333333333326</v>
      </c>
      <c r="G129" s="4">
        <v>20.963333333333331</v>
      </c>
      <c r="H129" s="4">
        <v>31.27</v>
      </c>
      <c r="I129" s="4">
        <v>0</v>
      </c>
      <c r="J129" s="4">
        <v>0</v>
      </c>
      <c r="K129" s="6">
        <v>0</v>
      </c>
      <c r="L129" s="4">
        <v>0</v>
      </c>
      <c r="M129" s="4">
        <v>0</v>
      </c>
      <c r="N129" s="8">
        <f t="shared" si="2"/>
        <v>0</v>
      </c>
      <c r="P129" s="4">
        <v>0</v>
      </c>
      <c r="Q129" s="4">
        <v>9788.6</v>
      </c>
      <c r="R129">
        <f t="shared" si="3"/>
        <v>0</v>
      </c>
    </row>
    <row r="130" spans="1:18">
      <c r="A130" s="2">
        <v>45572</v>
      </c>
      <c r="B130" s="4">
        <v>33.880000000000003</v>
      </c>
      <c r="C130" s="4">
        <v>25.24</v>
      </c>
      <c r="D130" s="4">
        <v>87.029166666666654</v>
      </c>
      <c r="E130" s="4">
        <v>466.91666666666669</v>
      </c>
      <c r="F130" s="4">
        <v>1.1924999999999999</v>
      </c>
      <c r="G130" s="4">
        <v>18.712916666666668</v>
      </c>
      <c r="H130" s="4">
        <v>31.85166666666667</v>
      </c>
      <c r="I130" s="4">
        <v>0</v>
      </c>
      <c r="J130" s="4">
        <v>0</v>
      </c>
      <c r="K130" s="6">
        <v>0.4</v>
      </c>
      <c r="L130" s="4">
        <v>0</v>
      </c>
      <c r="M130" s="4">
        <v>0</v>
      </c>
      <c r="N130" s="8">
        <f t="shared" ref="N130:N193" si="4">Q130-Q129</f>
        <v>0</v>
      </c>
      <c r="P130" s="4">
        <v>0.4</v>
      </c>
      <c r="Q130" s="4">
        <v>9788.6</v>
      </c>
      <c r="R130">
        <f t="shared" si="3"/>
        <v>0</v>
      </c>
    </row>
    <row r="131" spans="1:18">
      <c r="A131" s="2">
        <v>45573</v>
      </c>
      <c r="B131" s="4">
        <v>30.59</v>
      </c>
      <c r="C131" s="4">
        <v>23.19</v>
      </c>
      <c r="D131" s="4">
        <v>87.697083333333339</v>
      </c>
      <c r="E131" s="4">
        <v>418.08333333333331</v>
      </c>
      <c r="F131" s="4">
        <v>2.8058333333333341</v>
      </c>
      <c r="G131" s="4">
        <v>8.4333333333333336</v>
      </c>
      <c r="H131" s="4">
        <v>29.1875</v>
      </c>
      <c r="I131" s="4">
        <v>0</v>
      </c>
      <c r="J131" s="4">
        <v>0</v>
      </c>
      <c r="K131" s="6">
        <v>0.2</v>
      </c>
      <c r="L131" s="4">
        <v>0</v>
      </c>
      <c r="M131" s="4">
        <v>0</v>
      </c>
      <c r="N131" s="8">
        <f t="shared" si="4"/>
        <v>0</v>
      </c>
      <c r="P131" s="4">
        <v>0.2</v>
      </c>
      <c r="Q131" s="4">
        <v>9788.6</v>
      </c>
      <c r="R131">
        <f t="shared" ref="R131:R194" si="5">N131/770</f>
        <v>0</v>
      </c>
    </row>
    <row r="132" spans="1:18">
      <c r="A132" s="2">
        <v>45574</v>
      </c>
      <c r="B132" s="4">
        <v>30.59</v>
      </c>
      <c r="C132" s="4">
        <v>22.34</v>
      </c>
      <c r="D132" s="4">
        <v>85.890416666666667</v>
      </c>
      <c r="E132" s="4">
        <v>511</v>
      </c>
      <c r="F132" s="4">
        <v>2.88</v>
      </c>
      <c r="G132" s="4">
        <v>12.321666666666671</v>
      </c>
      <c r="H132" s="4">
        <v>28.537916666666661</v>
      </c>
      <c r="I132" s="4">
        <v>0</v>
      </c>
      <c r="J132" s="4">
        <v>0</v>
      </c>
      <c r="K132" s="6">
        <v>0.2</v>
      </c>
      <c r="L132" s="4">
        <v>0</v>
      </c>
      <c r="M132" s="4">
        <v>0</v>
      </c>
      <c r="N132" s="8">
        <f t="shared" si="4"/>
        <v>0</v>
      </c>
      <c r="P132" s="4">
        <v>0.2</v>
      </c>
      <c r="Q132" s="4">
        <v>9788.6</v>
      </c>
      <c r="R132">
        <f t="shared" si="5"/>
        <v>0</v>
      </c>
    </row>
    <row r="133" spans="1:18">
      <c r="A133" s="2">
        <v>45575</v>
      </c>
      <c r="B133" s="4">
        <v>28.57</v>
      </c>
      <c r="C133" s="4">
        <v>20.84</v>
      </c>
      <c r="D133" s="4">
        <v>83.706249999999997</v>
      </c>
      <c r="E133" s="4">
        <v>534.54166666666663</v>
      </c>
      <c r="F133" s="4">
        <v>3.44625</v>
      </c>
      <c r="G133" s="4">
        <v>6.0512499999999996</v>
      </c>
      <c r="H133" s="4">
        <v>27.365416666666661</v>
      </c>
      <c r="I133" s="4">
        <v>0</v>
      </c>
      <c r="J133" s="4">
        <v>0</v>
      </c>
      <c r="K133" s="6">
        <v>0.2</v>
      </c>
      <c r="L133" s="4">
        <v>0</v>
      </c>
      <c r="M133" s="4">
        <v>0</v>
      </c>
      <c r="N133" s="8">
        <f t="shared" si="4"/>
        <v>0</v>
      </c>
      <c r="P133" s="4">
        <v>0.2</v>
      </c>
      <c r="Q133" s="4">
        <v>9788.6</v>
      </c>
      <c r="R133">
        <f t="shared" si="5"/>
        <v>0</v>
      </c>
    </row>
    <row r="134" spans="1:18">
      <c r="A134" s="2">
        <v>45576</v>
      </c>
      <c r="B134" s="4">
        <v>29.63</v>
      </c>
      <c r="C134" s="4">
        <v>19.850000000000001</v>
      </c>
      <c r="D134" s="4">
        <v>82.226666666666674</v>
      </c>
      <c r="E134" s="4">
        <v>442.45833333333331</v>
      </c>
      <c r="F134" s="4">
        <v>2.2270833333333329</v>
      </c>
      <c r="G134" s="4">
        <v>17.855833333333329</v>
      </c>
      <c r="H134" s="4">
        <v>27.220416666666669</v>
      </c>
      <c r="I134" s="4">
        <v>0</v>
      </c>
      <c r="J134" s="4">
        <v>0</v>
      </c>
      <c r="K134" s="6">
        <v>0.2</v>
      </c>
      <c r="L134" s="4">
        <v>0</v>
      </c>
      <c r="M134" s="4">
        <v>0</v>
      </c>
      <c r="N134" s="8">
        <f t="shared" si="4"/>
        <v>0</v>
      </c>
      <c r="P134" s="4">
        <v>0.2</v>
      </c>
      <c r="Q134" s="4">
        <v>9788.6</v>
      </c>
      <c r="R134">
        <f t="shared" si="5"/>
        <v>0</v>
      </c>
    </row>
    <row r="135" spans="1:18">
      <c r="A135" s="2">
        <v>45577</v>
      </c>
      <c r="B135" s="4">
        <v>31.25</v>
      </c>
      <c r="C135" s="4">
        <v>20.73</v>
      </c>
      <c r="D135" s="4">
        <v>84.534166666666664</v>
      </c>
      <c r="E135" s="4">
        <v>541.70833333333337</v>
      </c>
      <c r="F135" s="4">
        <v>1.8374999999999999</v>
      </c>
      <c r="G135" s="4">
        <v>12.19375</v>
      </c>
      <c r="H135" s="4">
        <v>29.23416666666667</v>
      </c>
      <c r="I135" s="4">
        <v>0</v>
      </c>
      <c r="J135" s="4">
        <v>0</v>
      </c>
      <c r="K135" s="6">
        <v>0</v>
      </c>
      <c r="L135" s="4">
        <v>0</v>
      </c>
      <c r="M135" s="4">
        <v>0</v>
      </c>
      <c r="N135" s="8">
        <f t="shared" si="4"/>
        <v>0</v>
      </c>
      <c r="P135" s="4">
        <v>0</v>
      </c>
      <c r="Q135" s="4">
        <v>9788.6</v>
      </c>
      <c r="R135">
        <f t="shared" si="5"/>
        <v>0</v>
      </c>
    </row>
    <row r="136" spans="1:18">
      <c r="A136" s="2">
        <v>45578</v>
      </c>
      <c r="B136" s="4">
        <v>32.159999999999997</v>
      </c>
      <c r="C136" s="4">
        <v>22.49</v>
      </c>
      <c r="D136" s="4">
        <v>86.887500000000003</v>
      </c>
      <c r="E136" s="4">
        <v>530.83333333333337</v>
      </c>
      <c r="F136" s="4">
        <v>0.96416666666666673</v>
      </c>
      <c r="G136" s="4">
        <v>19.73875</v>
      </c>
      <c r="H136" s="4">
        <v>30.348333333333329</v>
      </c>
      <c r="I136" s="4">
        <v>0</v>
      </c>
      <c r="J136" s="4">
        <v>0</v>
      </c>
      <c r="K136" s="6">
        <v>0.2</v>
      </c>
      <c r="L136" s="4">
        <v>0</v>
      </c>
      <c r="M136" s="4">
        <v>0</v>
      </c>
      <c r="N136" s="8">
        <f t="shared" si="4"/>
        <v>0</v>
      </c>
      <c r="P136" s="4">
        <v>0.2</v>
      </c>
      <c r="Q136" s="4">
        <v>9788.6</v>
      </c>
      <c r="R136">
        <f t="shared" si="5"/>
        <v>0</v>
      </c>
    </row>
    <row r="137" spans="1:18">
      <c r="A137" s="2">
        <v>45579</v>
      </c>
      <c r="B137" s="4">
        <v>32.01</v>
      </c>
      <c r="C137" s="4">
        <v>23.37</v>
      </c>
      <c r="D137" s="4">
        <v>89.022083333333342</v>
      </c>
      <c r="E137" s="4">
        <v>450.5</v>
      </c>
      <c r="F137" s="4">
        <v>1.0287500000000001</v>
      </c>
      <c r="G137" s="4">
        <v>11.02083333333333</v>
      </c>
      <c r="H137" s="4">
        <v>30.822916666666671</v>
      </c>
      <c r="I137" s="4">
        <v>0</v>
      </c>
      <c r="J137" s="4">
        <v>0</v>
      </c>
      <c r="K137" s="6">
        <v>0</v>
      </c>
      <c r="L137" s="4">
        <v>0</v>
      </c>
      <c r="M137" s="4">
        <v>0</v>
      </c>
      <c r="N137" s="8">
        <f t="shared" si="4"/>
        <v>0</v>
      </c>
      <c r="P137" s="4">
        <v>0</v>
      </c>
      <c r="Q137" s="4">
        <v>9788.6</v>
      </c>
      <c r="R137">
        <f t="shared" si="5"/>
        <v>0</v>
      </c>
    </row>
    <row r="138" spans="1:18">
      <c r="A138" s="2">
        <v>45580</v>
      </c>
      <c r="B138" s="4">
        <v>31.36</v>
      </c>
      <c r="C138" s="4">
        <v>24.62</v>
      </c>
      <c r="D138" s="4">
        <v>91.447916666666671</v>
      </c>
      <c r="E138" s="4">
        <v>347.20833333333331</v>
      </c>
      <c r="F138" s="4">
        <v>1.486666666666667</v>
      </c>
      <c r="G138" s="4">
        <v>18.07416666666667</v>
      </c>
      <c r="H138" s="4">
        <v>29.497083333333329</v>
      </c>
      <c r="I138" s="4">
        <v>0</v>
      </c>
      <c r="J138" s="4">
        <v>0</v>
      </c>
      <c r="K138" s="6">
        <v>0</v>
      </c>
      <c r="L138" s="4">
        <v>0</v>
      </c>
      <c r="M138" s="4">
        <v>0</v>
      </c>
      <c r="N138" s="8">
        <f t="shared" si="4"/>
        <v>0</v>
      </c>
      <c r="P138" s="4">
        <v>0</v>
      </c>
      <c r="Q138" s="4">
        <v>9788.6</v>
      </c>
      <c r="R138">
        <f t="shared" si="5"/>
        <v>0</v>
      </c>
    </row>
    <row r="139" spans="1:18">
      <c r="A139" s="2">
        <v>45581</v>
      </c>
      <c r="B139" s="4">
        <v>32.78</v>
      </c>
      <c r="C139" s="4">
        <v>24.98</v>
      </c>
      <c r="D139" s="4">
        <v>88.736249999999998</v>
      </c>
      <c r="E139" s="4">
        <v>316.33333333333331</v>
      </c>
      <c r="F139" s="4">
        <v>1.902916666666667</v>
      </c>
      <c r="G139" s="4">
        <v>12.96833333333333</v>
      </c>
      <c r="H139" s="4">
        <v>30.02291666666666</v>
      </c>
      <c r="I139" s="4">
        <v>0</v>
      </c>
      <c r="J139" s="4">
        <v>0</v>
      </c>
      <c r="K139" s="6">
        <v>0.4</v>
      </c>
      <c r="L139" s="4">
        <v>0</v>
      </c>
      <c r="M139" s="4">
        <v>0</v>
      </c>
      <c r="N139" s="8">
        <f t="shared" si="4"/>
        <v>0</v>
      </c>
      <c r="P139" s="4">
        <v>0.4</v>
      </c>
      <c r="Q139" s="4">
        <v>9788.6</v>
      </c>
      <c r="R139">
        <f t="shared" si="5"/>
        <v>0</v>
      </c>
    </row>
    <row r="140" spans="1:18">
      <c r="A140" s="2">
        <v>45582</v>
      </c>
      <c r="B140" s="4">
        <v>32.67</v>
      </c>
      <c r="C140" s="4">
        <v>24.47</v>
      </c>
      <c r="D140" s="4">
        <v>86.063749999999985</v>
      </c>
      <c r="E140" s="4">
        <v>459</v>
      </c>
      <c r="F140" s="4">
        <v>1.0925</v>
      </c>
      <c r="G140" s="4">
        <v>20.900833333333331</v>
      </c>
      <c r="H140" s="4">
        <v>31.332916666666669</v>
      </c>
      <c r="I140" s="4">
        <v>0</v>
      </c>
      <c r="J140" s="4">
        <v>0</v>
      </c>
      <c r="K140" s="6">
        <v>0</v>
      </c>
      <c r="L140" s="4">
        <v>0</v>
      </c>
      <c r="M140" s="4">
        <v>0</v>
      </c>
      <c r="N140" s="8">
        <f t="shared" si="4"/>
        <v>0</v>
      </c>
      <c r="P140" s="4">
        <v>0</v>
      </c>
      <c r="Q140" s="4">
        <v>9788.6</v>
      </c>
      <c r="R140">
        <f t="shared" si="5"/>
        <v>0</v>
      </c>
    </row>
    <row r="141" spans="1:18">
      <c r="A141" s="2">
        <v>45583</v>
      </c>
      <c r="B141" s="4">
        <v>34.14</v>
      </c>
      <c r="C141" s="4">
        <v>24.62</v>
      </c>
      <c r="D141" s="4">
        <v>88.954999999999998</v>
      </c>
      <c r="E141" s="4">
        <v>481.16666666666669</v>
      </c>
      <c r="F141" s="4">
        <v>1.0358333333333329</v>
      </c>
      <c r="G141" s="4">
        <v>12.549583333333331</v>
      </c>
      <c r="H141" s="4">
        <v>31.572083333333339</v>
      </c>
      <c r="I141" s="4">
        <v>0</v>
      </c>
      <c r="J141" s="4">
        <v>0</v>
      </c>
      <c r="K141" s="6">
        <v>0</v>
      </c>
      <c r="L141" s="4">
        <v>0</v>
      </c>
      <c r="M141" s="4">
        <v>0</v>
      </c>
      <c r="N141" s="8">
        <f t="shared" si="4"/>
        <v>0</v>
      </c>
      <c r="P141" s="4">
        <v>0</v>
      </c>
      <c r="Q141" s="4">
        <v>9788.6</v>
      </c>
      <c r="R141">
        <f t="shared" si="5"/>
        <v>0</v>
      </c>
    </row>
    <row r="142" spans="1:18">
      <c r="A142" s="2">
        <v>45584</v>
      </c>
      <c r="B142" s="4">
        <v>30.59</v>
      </c>
      <c r="C142" s="4">
        <v>24.62</v>
      </c>
      <c r="D142" s="4">
        <v>91.506666666666661</v>
      </c>
      <c r="E142" s="4">
        <v>399.83333333333331</v>
      </c>
      <c r="F142" s="4">
        <v>2.3504166666666659</v>
      </c>
      <c r="G142" s="4">
        <v>16.828749999999999</v>
      </c>
      <c r="H142" s="4">
        <v>30.242083333333341</v>
      </c>
      <c r="I142" s="4">
        <v>0</v>
      </c>
      <c r="J142" s="4">
        <v>0</v>
      </c>
      <c r="K142" s="6">
        <v>0</v>
      </c>
      <c r="L142" s="4">
        <v>0</v>
      </c>
      <c r="M142" s="4">
        <v>0</v>
      </c>
      <c r="N142" s="8">
        <f t="shared" si="4"/>
        <v>0</v>
      </c>
      <c r="P142" s="4">
        <v>0</v>
      </c>
      <c r="Q142" s="4">
        <v>9788.6</v>
      </c>
      <c r="R142">
        <f t="shared" si="5"/>
        <v>0</v>
      </c>
    </row>
    <row r="143" spans="1:18">
      <c r="A143" s="2">
        <v>45585</v>
      </c>
      <c r="B143" s="4">
        <v>31.1</v>
      </c>
      <c r="C143" s="4">
        <v>23.74</v>
      </c>
      <c r="D143" s="4">
        <v>85.924999999999997</v>
      </c>
      <c r="E143" s="4">
        <v>497.29166666666669</v>
      </c>
      <c r="F143" s="4">
        <v>2.8145833333333332</v>
      </c>
      <c r="G143" s="4">
        <v>11.784166666666669</v>
      </c>
      <c r="H143" s="4">
        <v>29.823333333333331</v>
      </c>
      <c r="I143" s="4">
        <v>0</v>
      </c>
      <c r="J143" s="4">
        <v>0</v>
      </c>
      <c r="K143" s="6">
        <v>0</v>
      </c>
      <c r="L143" s="4">
        <v>0</v>
      </c>
      <c r="M143" s="4">
        <v>0</v>
      </c>
      <c r="N143" s="8">
        <f t="shared" si="4"/>
        <v>0</v>
      </c>
      <c r="P143" s="4">
        <v>0</v>
      </c>
      <c r="Q143" s="4">
        <v>9788.6</v>
      </c>
      <c r="R143">
        <f t="shared" si="5"/>
        <v>0</v>
      </c>
    </row>
    <row r="144" spans="1:18">
      <c r="A144" s="2">
        <v>45586</v>
      </c>
      <c r="B144" s="4">
        <v>30.26</v>
      </c>
      <c r="C144" s="4">
        <v>22.53</v>
      </c>
      <c r="D144" s="4">
        <v>89.545000000000002</v>
      </c>
      <c r="E144" s="4">
        <v>504.41666666666669</v>
      </c>
      <c r="F144" s="4">
        <v>2.679583333333333</v>
      </c>
      <c r="G144" s="4">
        <v>6.1341666666666663</v>
      </c>
      <c r="H144" s="4">
        <v>29.736249999999998</v>
      </c>
      <c r="I144" s="4">
        <v>0</v>
      </c>
      <c r="J144" s="4">
        <v>0</v>
      </c>
      <c r="K144" s="6">
        <v>0.2</v>
      </c>
      <c r="L144" s="4">
        <v>0</v>
      </c>
      <c r="M144" s="4">
        <v>0</v>
      </c>
      <c r="N144" s="8">
        <f t="shared" si="4"/>
        <v>0</v>
      </c>
      <c r="P144" s="4">
        <v>0.2</v>
      </c>
      <c r="Q144" s="4">
        <v>9788.6</v>
      </c>
      <c r="R144">
        <f t="shared" si="5"/>
        <v>0</v>
      </c>
    </row>
    <row r="145" spans="1:18">
      <c r="A145" s="2">
        <v>45587</v>
      </c>
      <c r="B145" s="4">
        <v>30.44</v>
      </c>
      <c r="C145" s="4">
        <v>23.59</v>
      </c>
      <c r="D145" s="4">
        <v>89.829166666666666</v>
      </c>
      <c r="E145" s="4">
        <v>399.75</v>
      </c>
      <c r="F145" s="4">
        <v>2.9158333333333331</v>
      </c>
      <c r="G145" s="4">
        <v>16.950833333333328</v>
      </c>
      <c r="H145" s="4">
        <v>28.67958333333333</v>
      </c>
      <c r="I145" s="4">
        <v>0</v>
      </c>
      <c r="J145" s="4">
        <v>0</v>
      </c>
      <c r="K145" s="6">
        <v>0</v>
      </c>
      <c r="L145" s="4">
        <v>0</v>
      </c>
      <c r="M145" s="4">
        <v>0</v>
      </c>
      <c r="N145" s="8">
        <f t="shared" si="4"/>
        <v>0</v>
      </c>
      <c r="P145" s="4">
        <v>0</v>
      </c>
      <c r="Q145" s="4">
        <v>9788.6</v>
      </c>
      <c r="R145">
        <f t="shared" si="5"/>
        <v>0</v>
      </c>
    </row>
    <row r="146" spans="1:18">
      <c r="A146" s="2">
        <v>45588</v>
      </c>
      <c r="B146" s="4">
        <v>27.11</v>
      </c>
      <c r="C146" s="4">
        <v>22.6</v>
      </c>
      <c r="D146" s="4">
        <v>83.265416666666667</v>
      </c>
      <c r="E146" s="4">
        <v>452.79166666666669</v>
      </c>
      <c r="F146" s="4">
        <v>6.0154166666666669</v>
      </c>
      <c r="G146" s="4">
        <v>6.3866666666666667</v>
      </c>
      <c r="H146" s="4">
        <v>26.574583333333329</v>
      </c>
      <c r="I146" s="4">
        <v>0</v>
      </c>
      <c r="J146" s="4">
        <v>0</v>
      </c>
      <c r="K146" s="6">
        <v>0</v>
      </c>
      <c r="L146" s="4">
        <v>0</v>
      </c>
      <c r="M146" s="4">
        <v>0</v>
      </c>
      <c r="N146" s="8">
        <f t="shared" si="4"/>
        <v>0</v>
      </c>
      <c r="P146" s="4">
        <v>0</v>
      </c>
      <c r="Q146" s="4">
        <v>9788.6</v>
      </c>
      <c r="R146">
        <f t="shared" si="5"/>
        <v>0</v>
      </c>
    </row>
    <row r="147" spans="1:18">
      <c r="A147" s="2">
        <v>45589</v>
      </c>
      <c r="B147" s="4">
        <v>26.19</v>
      </c>
      <c r="C147" s="4">
        <v>22.2</v>
      </c>
      <c r="D147" s="4">
        <v>85.04</v>
      </c>
      <c r="E147" s="4">
        <v>422.41666666666669</v>
      </c>
      <c r="F147" s="4">
        <v>6.2579166666666666</v>
      </c>
      <c r="G147" s="4">
        <v>6.4108333333333336</v>
      </c>
      <c r="H147" s="4">
        <v>25.928333333333331</v>
      </c>
      <c r="I147" s="4">
        <v>0</v>
      </c>
      <c r="J147" s="4">
        <v>0</v>
      </c>
      <c r="K147" s="6">
        <v>0</v>
      </c>
      <c r="L147" s="4">
        <v>0</v>
      </c>
      <c r="M147" s="4">
        <v>0</v>
      </c>
      <c r="N147" s="8">
        <f t="shared" si="4"/>
        <v>0</v>
      </c>
      <c r="P147" s="4">
        <v>0</v>
      </c>
      <c r="Q147" s="4">
        <v>9788.6</v>
      </c>
      <c r="R147">
        <f t="shared" si="5"/>
        <v>0</v>
      </c>
    </row>
    <row r="148" spans="1:18">
      <c r="A148" s="2">
        <v>45590</v>
      </c>
      <c r="B148" s="4">
        <v>31.21</v>
      </c>
      <c r="C148" s="4">
        <v>23.7</v>
      </c>
      <c r="D148" s="4">
        <v>89.87541666666668</v>
      </c>
      <c r="E148" s="4">
        <v>394.75</v>
      </c>
      <c r="F148" s="4">
        <v>3.4233333333333329</v>
      </c>
      <c r="G148" s="4">
        <v>11.651249999999999</v>
      </c>
      <c r="H148" s="4">
        <v>29.258749999999999</v>
      </c>
      <c r="I148" s="4">
        <v>0</v>
      </c>
      <c r="J148" s="4">
        <v>0</v>
      </c>
      <c r="K148" s="6">
        <v>0</v>
      </c>
      <c r="L148" s="4">
        <v>0</v>
      </c>
      <c r="M148" s="4">
        <v>0</v>
      </c>
      <c r="N148" s="8">
        <f t="shared" si="4"/>
        <v>0</v>
      </c>
      <c r="P148" s="4">
        <v>0</v>
      </c>
      <c r="Q148" s="4">
        <v>9788.6</v>
      </c>
      <c r="R148">
        <f t="shared" si="5"/>
        <v>0</v>
      </c>
    </row>
    <row r="149" spans="1:18">
      <c r="A149" s="2">
        <v>45591</v>
      </c>
      <c r="B149" s="4">
        <v>30.44</v>
      </c>
      <c r="C149" s="4">
        <v>25.31</v>
      </c>
      <c r="D149" s="4">
        <v>94.599166666666676</v>
      </c>
      <c r="E149" s="4">
        <v>308.79166666666669</v>
      </c>
      <c r="F149" s="4">
        <v>1.8183333333333329</v>
      </c>
      <c r="G149" s="4">
        <v>14.8225</v>
      </c>
      <c r="H149" s="4">
        <v>29.541250000000002</v>
      </c>
      <c r="I149" s="4">
        <v>0</v>
      </c>
      <c r="J149" s="4">
        <v>0</v>
      </c>
      <c r="K149" s="6">
        <v>0</v>
      </c>
      <c r="L149" s="4">
        <v>0</v>
      </c>
      <c r="M149" s="4">
        <v>0</v>
      </c>
      <c r="N149" s="8">
        <f t="shared" si="4"/>
        <v>0</v>
      </c>
      <c r="P149" s="4">
        <v>0</v>
      </c>
      <c r="Q149" s="4">
        <v>9788.6</v>
      </c>
      <c r="R149">
        <f t="shared" si="5"/>
        <v>0</v>
      </c>
    </row>
    <row r="150" spans="1:18">
      <c r="A150" s="2">
        <v>45592</v>
      </c>
      <c r="B150" s="4">
        <v>29.93</v>
      </c>
      <c r="C150" s="4">
        <v>25.13</v>
      </c>
      <c r="D150" s="4">
        <v>93.082499999999996</v>
      </c>
      <c r="E150" s="4">
        <v>301.41666666666669</v>
      </c>
      <c r="F150" s="4">
        <v>1.631666666666667</v>
      </c>
      <c r="G150" s="4">
        <v>14.11083333333333</v>
      </c>
      <c r="H150" s="4">
        <v>29.78541666666667</v>
      </c>
      <c r="I150" s="4">
        <v>0</v>
      </c>
      <c r="J150" s="4">
        <v>0</v>
      </c>
      <c r="K150" s="6">
        <v>0</v>
      </c>
      <c r="L150" s="4">
        <v>0</v>
      </c>
      <c r="M150" s="4">
        <v>0</v>
      </c>
      <c r="N150" s="8">
        <f t="shared" si="4"/>
        <v>0</v>
      </c>
      <c r="P150" s="4">
        <v>0</v>
      </c>
      <c r="Q150" s="4">
        <v>9788.6</v>
      </c>
      <c r="R150">
        <f t="shared" si="5"/>
        <v>0</v>
      </c>
    </row>
    <row r="151" spans="1:18">
      <c r="A151" s="2">
        <v>45593</v>
      </c>
      <c r="B151" s="4">
        <v>27.14</v>
      </c>
      <c r="C151" s="4">
        <v>23.3</v>
      </c>
      <c r="D151" s="4">
        <v>89.904999999999987</v>
      </c>
      <c r="E151" s="4">
        <v>168.08333333333329</v>
      </c>
      <c r="F151" s="4">
        <v>3.7425000000000002</v>
      </c>
      <c r="G151" s="4">
        <v>7.9970833333333333</v>
      </c>
      <c r="H151" s="4">
        <v>26.68041666666667</v>
      </c>
      <c r="I151" s="4">
        <v>0</v>
      </c>
      <c r="J151" s="4">
        <v>0</v>
      </c>
      <c r="K151" s="6">
        <v>0.2</v>
      </c>
      <c r="L151" s="4">
        <v>0</v>
      </c>
      <c r="M151" s="4">
        <v>0</v>
      </c>
      <c r="N151" s="8">
        <f t="shared" si="4"/>
        <v>0</v>
      </c>
      <c r="P151" s="4">
        <v>0.2</v>
      </c>
      <c r="Q151" s="4">
        <v>9788.6</v>
      </c>
      <c r="R151">
        <f t="shared" si="5"/>
        <v>0</v>
      </c>
    </row>
    <row r="152" spans="1:18">
      <c r="A152" s="2">
        <v>45594</v>
      </c>
      <c r="B152" s="4">
        <v>28.68</v>
      </c>
      <c r="C152" s="4">
        <v>21.83</v>
      </c>
      <c r="D152" s="4">
        <v>84.711666666666659</v>
      </c>
      <c r="E152" s="4">
        <v>451.875</v>
      </c>
      <c r="F152" s="4">
        <v>4.8949999999999996</v>
      </c>
      <c r="G152" s="4">
        <v>5.4091666666666667</v>
      </c>
      <c r="H152" s="4">
        <v>27.74958333333333</v>
      </c>
      <c r="I152" s="4">
        <v>0</v>
      </c>
      <c r="J152" s="4">
        <v>0</v>
      </c>
      <c r="K152" s="6">
        <v>0</v>
      </c>
      <c r="L152" s="4">
        <v>0</v>
      </c>
      <c r="M152" s="4">
        <v>0</v>
      </c>
      <c r="N152" s="8">
        <f t="shared" si="4"/>
        <v>0</v>
      </c>
      <c r="P152" s="4">
        <v>0</v>
      </c>
      <c r="Q152" s="4">
        <v>9788.6</v>
      </c>
      <c r="R152">
        <f t="shared" si="5"/>
        <v>0</v>
      </c>
    </row>
    <row r="153" spans="1:18">
      <c r="A153" s="2">
        <v>45595</v>
      </c>
      <c r="B153" s="4">
        <v>29.23</v>
      </c>
      <c r="C153" s="4">
        <v>21.72</v>
      </c>
      <c r="D153" s="4">
        <v>84.860416666666666</v>
      </c>
      <c r="E153" s="4">
        <v>462</v>
      </c>
      <c r="F153" s="4">
        <v>6.0345833333333339</v>
      </c>
      <c r="G153" s="4">
        <v>8.0720833333333335</v>
      </c>
      <c r="H153" s="4">
        <v>28.075416666666669</v>
      </c>
      <c r="I153" s="4">
        <v>0</v>
      </c>
      <c r="J153" s="4">
        <v>0</v>
      </c>
      <c r="K153" s="6">
        <v>0</v>
      </c>
      <c r="L153" s="4">
        <v>0</v>
      </c>
      <c r="M153" s="4">
        <v>0</v>
      </c>
      <c r="N153" s="8">
        <f t="shared" si="4"/>
        <v>0</v>
      </c>
      <c r="P153" s="4">
        <v>0</v>
      </c>
      <c r="Q153" s="4">
        <v>9788.6</v>
      </c>
      <c r="R153">
        <f t="shared" si="5"/>
        <v>0</v>
      </c>
    </row>
    <row r="154" spans="1:18">
      <c r="A154" s="2">
        <v>45596</v>
      </c>
      <c r="B154" s="4">
        <v>27.47</v>
      </c>
      <c r="C154" s="4">
        <v>23.33</v>
      </c>
      <c r="D154" s="4">
        <v>93.702083333333334</v>
      </c>
      <c r="E154" s="4">
        <v>62.625</v>
      </c>
      <c r="F154" s="4">
        <v>9.1387499999999999</v>
      </c>
      <c r="G154" s="4">
        <v>11.11333333333334</v>
      </c>
      <c r="H154" s="4">
        <v>25.376666666666669</v>
      </c>
      <c r="I154" s="4">
        <v>0</v>
      </c>
      <c r="J154" s="4">
        <v>2.5833333333333329E-3</v>
      </c>
      <c r="K154" s="6">
        <v>21.6</v>
      </c>
      <c r="L154" s="4">
        <v>0</v>
      </c>
      <c r="M154" s="4">
        <v>0</v>
      </c>
      <c r="N154" s="8">
        <f t="shared" si="4"/>
        <v>0</v>
      </c>
      <c r="P154" s="4">
        <v>19.399999999999999</v>
      </c>
      <c r="Q154" s="4">
        <v>9788.6</v>
      </c>
      <c r="R154">
        <f t="shared" si="5"/>
        <v>0</v>
      </c>
    </row>
    <row r="155" spans="1:18">
      <c r="A155" s="2">
        <v>45597</v>
      </c>
      <c r="B155" s="4">
        <v>27.91</v>
      </c>
      <c r="C155" s="4">
        <v>22.75</v>
      </c>
      <c r="D155" s="4">
        <v>94.986249999999998</v>
      </c>
      <c r="E155" s="4">
        <v>169.45833333333329</v>
      </c>
      <c r="F155" s="4">
        <v>3.2091666666666669</v>
      </c>
      <c r="G155" s="4">
        <v>17.86</v>
      </c>
      <c r="H155" s="4">
        <v>25.38333333333334</v>
      </c>
      <c r="I155" s="4">
        <v>0</v>
      </c>
      <c r="J155" s="4">
        <v>0</v>
      </c>
      <c r="K155" s="6">
        <v>49.4</v>
      </c>
      <c r="L155" s="4">
        <v>0</v>
      </c>
      <c r="M155" s="4">
        <v>0</v>
      </c>
      <c r="N155" s="8">
        <f t="shared" si="4"/>
        <v>0</v>
      </c>
      <c r="P155" s="4">
        <v>41</v>
      </c>
      <c r="Q155" s="4">
        <v>9788.6</v>
      </c>
      <c r="R155">
        <f t="shared" si="5"/>
        <v>0</v>
      </c>
    </row>
    <row r="156" spans="1:18">
      <c r="A156" s="2">
        <v>45598</v>
      </c>
      <c r="B156" s="4">
        <v>28.32</v>
      </c>
      <c r="C156" s="4">
        <v>22.49</v>
      </c>
      <c r="D156" s="4">
        <v>87.744166666666672</v>
      </c>
      <c r="E156" s="4">
        <v>497.66666666666669</v>
      </c>
      <c r="F156" s="4">
        <v>2.4483333333333328</v>
      </c>
      <c r="G156" s="4">
        <v>15.28708333333333</v>
      </c>
      <c r="H156" s="4">
        <v>27.15208333333333</v>
      </c>
      <c r="I156" s="4">
        <v>0</v>
      </c>
      <c r="J156" s="4">
        <v>0</v>
      </c>
      <c r="K156" s="6">
        <v>0</v>
      </c>
      <c r="L156" s="4">
        <v>0</v>
      </c>
      <c r="M156" s="4">
        <v>0</v>
      </c>
      <c r="N156" s="8">
        <f t="shared" si="4"/>
        <v>0</v>
      </c>
      <c r="P156" s="4">
        <v>0</v>
      </c>
      <c r="Q156" s="4">
        <v>9788.6</v>
      </c>
      <c r="R156">
        <f t="shared" si="5"/>
        <v>0</v>
      </c>
    </row>
    <row r="157" spans="1:18">
      <c r="A157" s="2">
        <v>45599</v>
      </c>
      <c r="B157" s="4">
        <v>28.46</v>
      </c>
      <c r="C157" s="4">
        <v>22.12</v>
      </c>
      <c r="D157" s="4">
        <v>89.289166666666674</v>
      </c>
      <c r="E157" s="4">
        <v>488.29166666666669</v>
      </c>
      <c r="F157" s="4">
        <v>3.0074999999999998</v>
      </c>
      <c r="G157" s="4">
        <v>11.335416666666671</v>
      </c>
      <c r="H157" s="4">
        <v>27.028749999999999</v>
      </c>
      <c r="I157" s="4">
        <v>0</v>
      </c>
      <c r="J157" s="4">
        <v>0</v>
      </c>
      <c r="K157" s="6">
        <v>0</v>
      </c>
      <c r="L157" s="4">
        <v>0</v>
      </c>
      <c r="M157" s="4">
        <v>0</v>
      </c>
      <c r="N157" s="8">
        <f t="shared" si="4"/>
        <v>0</v>
      </c>
      <c r="P157" s="4">
        <v>0</v>
      </c>
      <c r="Q157" s="4">
        <v>9788.6</v>
      </c>
      <c r="R157">
        <f t="shared" si="5"/>
        <v>0</v>
      </c>
    </row>
    <row r="158" spans="1:18">
      <c r="A158" s="2">
        <v>45600</v>
      </c>
      <c r="B158" s="4">
        <v>29.27</v>
      </c>
      <c r="C158" s="4">
        <v>21.21</v>
      </c>
      <c r="D158" s="4">
        <v>88.408749999999998</v>
      </c>
      <c r="E158" s="4">
        <v>429.125</v>
      </c>
      <c r="F158" s="4">
        <v>2.5716666666666672</v>
      </c>
      <c r="G158" s="4">
        <v>10.03333333333333</v>
      </c>
      <c r="H158" s="4">
        <v>27.05916666666667</v>
      </c>
      <c r="I158" s="4">
        <v>0</v>
      </c>
      <c r="J158" s="4">
        <v>0</v>
      </c>
      <c r="K158" s="6">
        <v>0</v>
      </c>
      <c r="L158" s="4">
        <v>0</v>
      </c>
      <c r="M158" s="4">
        <v>0</v>
      </c>
      <c r="N158" s="8">
        <f t="shared" si="4"/>
        <v>0</v>
      </c>
      <c r="P158" s="4">
        <v>0</v>
      </c>
      <c r="Q158" s="4">
        <v>9788.6</v>
      </c>
      <c r="R158">
        <f t="shared" si="5"/>
        <v>0</v>
      </c>
    </row>
    <row r="159" spans="1:18">
      <c r="A159" s="2">
        <v>45601</v>
      </c>
      <c r="B159" s="4">
        <v>27.11</v>
      </c>
      <c r="C159" s="4">
        <v>20.73</v>
      </c>
      <c r="D159" s="4">
        <v>85.23</v>
      </c>
      <c r="E159" s="4">
        <v>404.5</v>
      </c>
      <c r="F159" s="4">
        <v>4.375</v>
      </c>
      <c r="G159" s="4">
        <v>9.0158333333333331</v>
      </c>
      <c r="H159" s="4">
        <v>25.313749999999999</v>
      </c>
      <c r="I159" s="4">
        <v>0</v>
      </c>
      <c r="J159" s="4">
        <v>0</v>
      </c>
      <c r="K159" s="6">
        <v>0</v>
      </c>
      <c r="L159" s="4">
        <v>0</v>
      </c>
      <c r="M159" s="4">
        <v>0</v>
      </c>
      <c r="N159" s="8">
        <f t="shared" si="4"/>
        <v>0</v>
      </c>
      <c r="P159" s="4">
        <v>0</v>
      </c>
      <c r="Q159" s="4">
        <v>9788.6</v>
      </c>
      <c r="R159">
        <f t="shared" si="5"/>
        <v>0</v>
      </c>
    </row>
    <row r="160" spans="1:18">
      <c r="A160" s="2">
        <v>45602</v>
      </c>
      <c r="B160" s="4">
        <v>26.59</v>
      </c>
      <c r="C160" s="4">
        <v>19.489999999999998</v>
      </c>
      <c r="D160" s="4">
        <v>74.512083333333337</v>
      </c>
      <c r="E160" s="4">
        <v>461.33333333333331</v>
      </c>
      <c r="F160" s="4">
        <v>5.9720833333333339</v>
      </c>
      <c r="G160" s="4">
        <v>6.4020833333333336</v>
      </c>
      <c r="H160" s="4">
        <v>24.145416666666669</v>
      </c>
      <c r="I160" s="4">
        <v>0</v>
      </c>
      <c r="J160" s="4">
        <v>0</v>
      </c>
      <c r="K160" s="6">
        <v>0</v>
      </c>
      <c r="L160" s="4">
        <v>0</v>
      </c>
      <c r="M160" s="4">
        <v>0</v>
      </c>
      <c r="N160" s="8">
        <f t="shared" si="4"/>
        <v>0</v>
      </c>
      <c r="P160" s="4">
        <v>0</v>
      </c>
      <c r="Q160" s="4">
        <v>9788.6</v>
      </c>
      <c r="R160">
        <f t="shared" si="5"/>
        <v>0</v>
      </c>
    </row>
    <row r="161" spans="1:18">
      <c r="A161" s="2">
        <v>45603</v>
      </c>
      <c r="B161" s="4">
        <v>26.59</v>
      </c>
      <c r="C161" s="4">
        <v>18.79</v>
      </c>
      <c r="D161" s="4">
        <v>79.242916666666659</v>
      </c>
      <c r="E161" s="4">
        <v>461.41666666666669</v>
      </c>
      <c r="F161" s="4">
        <v>4.1204166666666664</v>
      </c>
      <c r="G161" s="4">
        <v>4.8479166666666673</v>
      </c>
      <c r="H161" s="4">
        <v>24.130833333333332</v>
      </c>
      <c r="I161" s="4">
        <v>0</v>
      </c>
      <c r="J161" s="4">
        <v>0</v>
      </c>
      <c r="K161" s="6">
        <v>0</v>
      </c>
      <c r="L161" s="4">
        <v>0</v>
      </c>
      <c r="M161" s="4">
        <v>0</v>
      </c>
      <c r="N161" s="8">
        <f t="shared" si="4"/>
        <v>0</v>
      </c>
      <c r="P161" s="4">
        <v>0</v>
      </c>
      <c r="Q161" s="4">
        <v>9788.6</v>
      </c>
      <c r="R161">
        <f t="shared" si="5"/>
        <v>0</v>
      </c>
    </row>
    <row r="162" spans="1:18">
      <c r="A162" s="2">
        <v>45604</v>
      </c>
      <c r="B162" s="4">
        <v>26.59</v>
      </c>
      <c r="C162" s="4">
        <v>20.260000000000002</v>
      </c>
      <c r="D162" s="4">
        <v>88.329166666666666</v>
      </c>
      <c r="E162" s="4">
        <v>242.41666666666671</v>
      </c>
      <c r="F162" s="4">
        <v>4.4629166666666666</v>
      </c>
      <c r="G162" s="4">
        <v>11.62291666666667</v>
      </c>
      <c r="H162" s="4">
        <v>23.790833333333339</v>
      </c>
      <c r="I162" s="4">
        <v>0</v>
      </c>
      <c r="J162" s="4">
        <v>0</v>
      </c>
      <c r="K162" s="6">
        <v>0.42</v>
      </c>
      <c r="L162" s="4">
        <v>0</v>
      </c>
      <c r="M162" s="4">
        <v>580.20000000000005</v>
      </c>
      <c r="N162" s="8">
        <f t="shared" si="4"/>
        <v>328.60000000000036</v>
      </c>
      <c r="O162">
        <f>N162/10/77</f>
        <v>0.42675324675324722</v>
      </c>
      <c r="P162" s="4">
        <v>0</v>
      </c>
      <c r="Q162" s="4">
        <v>10117.200000000001</v>
      </c>
      <c r="R162">
        <f t="shared" si="5"/>
        <v>0.42675324675324722</v>
      </c>
    </row>
    <row r="163" spans="1:18">
      <c r="A163" s="2">
        <v>45605</v>
      </c>
      <c r="B163" s="4">
        <v>29.52</v>
      </c>
      <c r="C163" s="4">
        <v>20.81</v>
      </c>
      <c r="D163" s="4">
        <v>91.524583333333339</v>
      </c>
      <c r="E163" s="4">
        <v>460.79166666666669</v>
      </c>
      <c r="F163" s="4">
        <v>2.3066666666666671</v>
      </c>
      <c r="G163" s="4">
        <v>9.6616666666666671</v>
      </c>
      <c r="H163" s="4">
        <v>26.940416666666671</v>
      </c>
      <c r="I163" s="4">
        <v>0</v>
      </c>
      <c r="J163" s="4">
        <v>3.041666666666666E-3</v>
      </c>
      <c r="K163" s="6">
        <v>0.8</v>
      </c>
      <c r="L163" s="4">
        <v>0</v>
      </c>
      <c r="M163" s="4">
        <v>1143.5999999999999</v>
      </c>
      <c r="N163" s="8">
        <f t="shared" si="4"/>
        <v>617.19999999999891</v>
      </c>
      <c r="O163">
        <f>N163/10/77</f>
        <v>0.80155844155844014</v>
      </c>
      <c r="P163" s="4">
        <v>0</v>
      </c>
      <c r="Q163" s="4">
        <v>10734.4</v>
      </c>
      <c r="R163">
        <f t="shared" si="5"/>
        <v>0.80155844155844014</v>
      </c>
    </row>
    <row r="164" spans="1:18">
      <c r="A164" s="2">
        <v>45606</v>
      </c>
      <c r="B164" s="4">
        <v>27.51</v>
      </c>
      <c r="C164" s="4">
        <v>21.5</v>
      </c>
      <c r="D164" s="4">
        <v>92.42</v>
      </c>
      <c r="E164" s="4">
        <v>250.25</v>
      </c>
      <c r="F164" s="4">
        <v>2.5820833333333328</v>
      </c>
      <c r="G164" s="4">
        <v>10.25208333333333</v>
      </c>
      <c r="H164" s="4">
        <v>25.583749999999998</v>
      </c>
      <c r="I164" s="4">
        <v>0</v>
      </c>
      <c r="J164" s="4">
        <v>4.5416666666666669E-3</v>
      </c>
      <c r="K164" s="6">
        <v>0</v>
      </c>
      <c r="L164" s="4">
        <v>0</v>
      </c>
      <c r="M164" s="4">
        <v>0</v>
      </c>
      <c r="N164" s="8">
        <f t="shared" si="4"/>
        <v>0</v>
      </c>
      <c r="P164" s="4">
        <v>0</v>
      </c>
      <c r="Q164" s="4">
        <v>10734.4</v>
      </c>
      <c r="R164">
        <f t="shared" si="5"/>
        <v>0</v>
      </c>
    </row>
    <row r="165" spans="1:18">
      <c r="A165" s="2">
        <v>45607</v>
      </c>
      <c r="B165" s="4">
        <v>28.46</v>
      </c>
      <c r="C165" s="4">
        <v>21.58</v>
      </c>
      <c r="D165" s="4">
        <v>89.095833333333346</v>
      </c>
      <c r="E165" s="4">
        <v>413.95833333333331</v>
      </c>
      <c r="F165" s="4">
        <v>3.7850000000000001</v>
      </c>
      <c r="G165" s="4">
        <v>6.0837499999999993</v>
      </c>
      <c r="H165" s="4">
        <v>26.76166666666667</v>
      </c>
      <c r="I165" s="4">
        <v>0</v>
      </c>
      <c r="J165" s="4">
        <v>0</v>
      </c>
      <c r="K165" s="6">
        <v>0</v>
      </c>
      <c r="L165" s="4">
        <v>0</v>
      </c>
      <c r="M165" s="4">
        <v>0</v>
      </c>
      <c r="N165" s="8">
        <f t="shared" si="4"/>
        <v>0</v>
      </c>
      <c r="P165" s="4">
        <v>0</v>
      </c>
      <c r="Q165" s="4">
        <v>10734.4</v>
      </c>
      <c r="R165">
        <f t="shared" si="5"/>
        <v>0</v>
      </c>
    </row>
    <row r="166" spans="1:18">
      <c r="A166" s="2">
        <v>45608</v>
      </c>
      <c r="B166" s="4">
        <v>27</v>
      </c>
      <c r="C166" s="4">
        <v>23.19</v>
      </c>
      <c r="D166" s="4">
        <v>95.361666666666665</v>
      </c>
      <c r="E166" s="4">
        <v>159.20833333333329</v>
      </c>
      <c r="F166" s="4">
        <v>2.4916666666666671</v>
      </c>
      <c r="G166" s="4">
        <v>13.55458333333333</v>
      </c>
      <c r="H166" s="4">
        <v>25.747916666666669</v>
      </c>
      <c r="I166" s="4">
        <v>0</v>
      </c>
      <c r="J166" s="4">
        <v>7.4999999999999991E-4</v>
      </c>
      <c r="K166" s="6">
        <v>0.2</v>
      </c>
      <c r="L166" s="4">
        <v>0</v>
      </c>
      <c r="M166" s="4">
        <v>0</v>
      </c>
      <c r="N166" s="8">
        <f t="shared" si="4"/>
        <v>0</v>
      </c>
      <c r="P166" s="4">
        <v>0.2</v>
      </c>
      <c r="Q166" s="4">
        <v>10734.4</v>
      </c>
      <c r="R166">
        <f t="shared" si="5"/>
        <v>0</v>
      </c>
    </row>
    <row r="167" spans="1:18">
      <c r="A167" s="2">
        <v>45609</v>
      </c>
      <c r="B167" s="4">
        <v>30.73</v>
      </c>
      <c r="C167" s="4">
        <v>23.19</v>
      </c>
      <c r="D167" s="4">
        <v>91.825833333333335</v>
      </c>
      <c r="E167" s="4">
        <v>369.16666666666669</v>
      </c>
      <c r="F167" s="4">
        <v>1.7645833333333329</v>
      </c>
      <c r="G167" s="4">
        <v>18.90291666666667</v>
      </c>
      <c r="H167" s="4">
        <v>28.33208333333333</v>
      </c>
      <c r="I167" s="4">
        <v>0</v>
      </c>
      <c r="J167" s="4">
        <v>0</v>
      </c>
      <c r="K167" s="6">
        <v>0</v>
      </c>
      <c r="L167" s="4">
        <v>0</v>
      </c>
      <c r="M167" s="4">
        <v>0</v>
      </c>
      <c r="N167" s="8">
        <f t="shared" si="4"/>
        <v>0</v>
      </c>
      <c r="P167" s="4">
        <v>0</v>
      </c>
      <c r="Q167" s="4">
        <v>10734.4</v>
      </c>
      <c r="R167">
        <f t="shared" si="5"/>
        <v>0</v>
      </c>
    </row>
    <row r="168" spans="1:18">
      <c r="A168" s="2">
        <v>45610</v>
      </c>
      <c r="B168" s="4">
        <v>29.27</v>
      </c>
      <c r="C168" s="4">
        <v>23.37</v>
      </c>
      <c r="D168" s="4">
        <v>94.712916666666672</v>
      </c>
      <c r="E168" s="4">
        <v>266.95833333333331</v>
      </c>
      <c r="F168" s="4">
        <v>1.40625</v>
      </c>
      <c r="G168" s="4">
        <v>16.419166666666669</v>
      </c>
      <c r="H168" s="4">
        <v>27.543749999999999</v>
      </c>
      <c r="I168" s="4">
        <v>0</v>
      </c>
      <c r="J168" s="4">
        <v>0</v>
      </c>
      <c r="K168" s="6">
        <v>0</v>
      </c>
      <c r="L168" s="4">
        <v>0</v>
      </c>
      <c r="M168" s="4">
        <v>0</v>
      </c>
      <c r="N168" s="8">
        <f t="shared" si="4"/>
        <v>0</v>
      </c>
      <c r="P168" s="4">
        <v>0</v>
      </c>
      <c r="Q168" s="4">
        <v>10734.4</v>
      </c>
      <c r="R168">
        <f t="shared" si="5"/>
        <v>0</v>
      </c>
    </row>
    <row r="169" spans="1:18">
      <c r="A169" s="2">
        <v>45611</v>
      </c>
      <c r="B169" s="4">
        <v>26.74</v>
      </c>
      <c r="C169" s="4">
        <v>23</v>
      </c>
      <c r="D169" s="4">
        <v>96.594583333333333</v>
      </c>
      <c r="E169" s="4">
        <v>157.83333333333329</v>
      </c>
      <c r="F169" s="4">
        <v>2.2712500000000002</v>
      </c>
      <c r="G169" s="4">
        <v>17.123333333333331</v>
      </c>
      <c r="H169" s="4">
        <v>26.270416666666669</v>
      </c>
      <c r="I169" s="4">
        <v>0</v>
      </c>
      <c r="J169" s="4">
        <v>0</v>
      </c>
      <c r="K169" s="6">
        <v>0</v>
      </c>
      <c r="L169" s="4">
        <v>0</v>
      </c>
      <c r="M169" s="4">
        <v>0</v>
      </c>
      <c r="N169" s="8">
        <f t="shared" si="4"/>
        <v>0</v>
      </c>
      <c r="P169" s="4">
        <v>0</v>
      </c>
      <c r="Q169" s="4">
        <v>10734.4</v>
      </c>
      <c r="R169">
        <f t="shared" si="5"/>
        <v>0</v>
      </c>
    </row>
    <row r="170" spans="1:18">
      <c r="A170" s="2">
        <v>45612</v>
      </c>
      <c r="B170" s="4">
        <v>27</v>
      </c>
      <c r="C170" s="4">
        <v>23.44</v>
      </c>
      <c r="D170" s="4">
        <v>95.327500000000001</v>
      </c>
      <c r="E170" s="4">
        <v>230.20833333333329</v>
      </c>
      <c r="F170" s="4">
        <v>4.2420833333333334</v>
      </c>
      <c r="G170" s="4">
        <v>7.5404166666666663</v>
      </c>
      <c r="H170" s="4">
        <v>25.85083333333333</v>
      </c>
      <c r="I170" s="4">
        <v>0</v>
      </c>
      <c r="J170" s="4">
        <v>2.333333333333334E-3</v>
      </c>
      <c r="K170" s="6">
        <v>1.8</v>
      </c>
      <c r="L170" s="4">
        <v>0</v>
      </c>
      <c r="M170" s="4">
        <v>0</v>
      </c>
      <c r="N170" s="8">
        <f t="shared" si="4"/>
        <v>0</v>
      </c>
      <c r="P170" s="4">
        <v>1.8</v>
      </c>
      <c r="Q170" s="4">
        <v>10734.4</v>
      </c>
      <c r="R170">
        <f t="shared" si="5"/>
        <v>0</v>
      </c>
    </row>
    <row r="171" spans="1:18">
      <c r="A171" s="2">
        <v>45613</v>
      </c>
      <c r="B171" s="4">
        <v>28.72</v>
      </c>
      <c r="C171" s="4">
        <v>22.75</v>
      </c>
      <c r="D171" s="4">
        <v>88.644999999999996</v>
      </c>
      <c r="E171" s="4">
        <v>398.04166666666669</v>
      </c>
      <c r="F171" s="4">
        <v>5.03125</v>
      </c>
      <c r="G171" s="4">
        <v>7.3654166666666674</v>
      </c>
      <c r="H171" s="4">
        <v>27.279583333333331</v>
      </c>
      <c r="I171" s="4">
        <v>0</v>
      </c>
      <c r="J171" s="4">
        <v>0</v>
      </c>
      <c r="K171" s="6">
        <v>0</v>
      </c>
      <c r="L171" s="4">
        <v>0</v>
      </c>
      <c r="M171" s="4">
        <v>0</v>
      </c>
      <c r="N171" s="8">
        <f t="shared" si="4"/>
        <v>0</v>
      </c>
      <c r="P171" s="4">
        <v>0</v>
      </c>
      <c r="Q171" s="4">
        <v>10734.4</v>
      </c>
      <c r="R171">
        <f t="shared" si="5"/>
        <v>0</v>
      </c>
    </row>
    <row r="172" spans="1:18">
      <c r="A172" s="2">
        <v>45614</v>
      </c>
      <c r="B172" s="4">
        <v>24.73</v>
      </c>
      <c r="C172" s="4">
        <v>19.739999999999998</v>
      </c>
      <c r="D172" s="4">
        <v>83.833333333333329</v>
      </c>
      <c r="E172" s="4">
        <v>179.95833333333329</v>
      </c>
      <c r="F172" s="4">
        <v>5.9466666666666663</v>
      </c>
      <c r="G172" s="4">
        <v>4.7912500000000007</v>
      </c>
      <c r="H172" s="4">
        <v>23.080833333333331</v>
      </c>
      <c r="I172" s="4">
        <v>0</v>
      </c>
      <c r="J172" s="4">
        <v>0</v>
      </c>
      <c r="K172" s="6">
        <v>0</v>
      </c>
      <c r="L172" s="4">
        <v>0</v>
      </c>
      <c r="M172" s="4">
        <v>0</v>
      </c>
      <c r="N172" s="8">
        <f t="shared" si="4"/>
        <v>0</v>
      </c>
      <c r="P172" s="4">
        <v>0</v>
      </c>
      <c r="Q172" s="4">
        <v>10734.4</v>
      </c>
      <c r="R172">
        <f t="shared" si="5"/>
        <v>0</v>
      </c>
    </row>
    <row r="173" spans="1:18">
      <c r="A173" s="2">
        <v>45615</v>
      </c>
      <c r="B173" s="4">
        <v>23.99</v>
      </c>
      <c r="C173" s="4">
        <v>19.489999999999998</v>
      </c>
      <c r="D173" s="4">
        <v>86.057916666666657</v>
      </c>
      <c r="E173" s="4">
        <v>189.75</v>
      </c>
      <c r="F173" s="4">
        <v>3.802083333333333</v>
      </c>
      <c r="G173" s="4">
        <v>7.8125</v>
      </c>
      <c r="H173" s="4">
        <v>22.702500000000001</v>
      </c>
      <c r="I173" s="4">
        <v>0</v>
      </c>
      <c r="J173" s="4">
        <v>0</v>
      </c>
      <c r="K173" s="6">
        <v>0</v>
      </c>
      <c r="L173" s="4">
        <v>0</v>
      </c>
      <c r="M173" s="4">
        <v>0</v>
      </c>
      <c r="N173" s="8">
        <f t="shared" si="4"/>
        <v>0</v>
      </c>
      <c r="P173" s="4">
        <v>0</v>
      </c>
      <c r="Q173" s="4">
        <v>10734.4</v>
      </c>
      <c r="R173">
        <f t="shared" si="5"/>
        <v>0</v>
      </c>
    </row>
    <row r="174" spans="1:18">
      <c r="A174" s="2">
        <v>45616</v>
      </c>
      <c r="B174" s="4">
        <v>25.68</v>
      </c>
      <c r="C174" s="4">
        <v>19.739999999999998</v>
      </c>
      <c r="D174" s="4">
        <v>88.502083333333346</v>
      </c>
      <c r="E174" s="4">
        <v>333.25</v>
      </c>
      <c r="F174" s="4">
        <v>4.5983333333333336</v>
      </c>
      <c r="G174" s="4">
        <v>3.7912499999999998</v>
      </c>
      <c r="H174" s="4">
        <v>24.145833333333329</v>
      </c>
      <c r="I174" s="4">
        <v>0</v>
      </c>
      <c r="J174" s="4">
        <v>0</v>
      </c>
      <c r="K174" s="6">
        <v>0</v>
      </c>
      <c r="L174" s="4">
        <v>0</v>
      </c>
      <c r="M174" s="4">
        <v>0</v>
      </c>
      <c r="N174" s="8">
        <f t="shared" si="4"/>
        <v>0</v>
      </c>
      <c r="P174" s="4">
        <v>0</v>
      </c>
      <c r="Q174" s="4">
        <v>10734.4</v>
      </c>
      <c r="R174">
        <f t="shared" si="5"/>
        <v>0</v>
      </c>
    </row>
    <row r="175" spans="1:18">
      <c r="A175" s="2">
        <v>45617</v>
      </c>
      <c r="B175" s="4">
        <v>25.46</v>
      </c>
      <c r="C175" s="4">
        <v>19.739999999999998</v>
      </c>
      <c r="D175" s="4">
        <v>86.385833333333338</v>
      </c>
      <c r="E175" s="4">
        <v>345.33333333333331</v>
      </c>
      <c r="F175" s="4">
        <v>5.3025000000000002</v>
      </c>
      <c r="G175" s="4">
        <v>7.5933333333333337</v>
      </c>
      <c r="H175" s="4">
        <v>23.842083333333331</v>
      </c>
      <c r="I175" s="4">
        <v>0</v>
      </c>
      <c r="J175" s="4">
        <v>0</v>
      </c>
      <c r="K175" s="6">
        <v>0</v>
      </c>
      <c r="L175" s="4">
        <v>0</v>
      </c>
      <c r="M175" s="4">
        <v>0</v>
      </c>
      <c r="N175" s="8">
        <f t="shared" si="4"/>
        <v>0</v>
      </c>
      <c r="P175" s="4">
        <v>0</v>
      </c>
      <c r="Q175" s="4">
        <v>10734.4</v>
      </c>
      <c r="R175">
        <f t="shared" si="5"/>
        <v>0</v>
      </c>
    </row>
    <row r="176" spans="1:18">
      <c r="A176" s="2">
        <v>45618</v>
      </c>
      <c r="B176" s="4">
        <v>25.42</v>
      </c>
      <c r="C176" s="4">
        <v>19.34</v>
      </c>
      <c r="D176" s="4">
        <v>82.422083333333333</v>
      </c>
      <c r="E176" s="4">
        <v>334.08333333333331</v>
      </c>
      <c r="F176" s="4">
        <v>5.4454166666666666</v>
      </c>
      <c r="G176" s="4">
        <v>7.4229166666666666</v>
      </c>
      <c r="H176" s="4">
        <v>23.736666666666661</v>
      </c>
      <c r="I176" s="4">
        <v>0</v>
      </c>
      <c r="J176" s="4">
        <v>0</v>
      </c>
      <c r="K176" s="6">
        <v>0</v>
      </c>
      <c r="L176" s="4">
        <v>0</v>
      </c>
      <c r="M176" s="4">
        <v>0</v>
      </c>
      <c r="N176" s="8">
        <f t="shared" si="4"/>
        <v>0</v>
      </c>
      <c r="P176" s="4">
        <v>0</v>
      </c>
      <c r="Q176" s="4">
        <v>10734.4</v>
      </c>
      <c r="R176">
        <f t="shared" si="5"/>
        <v>0</v>
      </c>
    </row>
    <row r="177" spans="1:18">
      <c r="A177" s="2">
        <v>45619</v>
      </c>
      <c r="B177" s="4">
        <v>24.65</v>
      </c>
      <c r="C177" s="4">
        <v>19.190000000000001</v>
      </c>
      <c r="D177" s="4">
        <v>79.092916666666667</v>
      </c>
      <c r="E177" s="4">
        <v>277.04166666666669</v>
      </c>
      <c r="F177" s="4">
        <v>3.694583333333334</v>
      </c>
      <c r="G177" s="4">
        <v>5.822916666666667</v>
      </c>
      <c r="H177" s="4">
        <v>23.127916666666671</v>
      </c>
      <c r="I177" s="4">
        <v>0</v>
      </c>
      <c r="J177" s="4">
        <v>0</v>
      </c>
      <c r="K177" s="6">
        <v>0</v>
      </c>
      <c r="L177" s="4">
        <v>0</v>
      </c>
      <c r="M177" s="4">
        <v>0</v>
      </c>
      <c r="N177" s="8">
        <f t="shared" si="4"/>
        <v>0</v>
      </c>
      <c r="P177" s="4">
        <v>0</v>
      </c>
      <c r="Q177" s="4">
        <v>10734.4</v>
      </c>
      <c r="R177">
        <f t="shared" si="5"/>
        <v>0</v>
      </c>
    </row>
    <row r="178" spans="1:18">
      <c r="A178" s="2">
        <v>45620</v>
      </c>
      <c r="B178" s="4">
        <v>26.23</v>
      </c>
      <c r="C178" s="4">
        <v>18.57</v>
      </c>
      <c r="D178" s="4">
        <v>84.421666666666667</v>
      </c>
      <c r="E178" s="4">
        <v>394.625</v>
      </c>
      <c r="F178" s="4">
        <v>3.0829166666666659</v>
      </c>
      <c r="G178" s="4">
        <v>15.83</v>
      </c>
      <c r="H178" s="4">
        <v>24.085000000000001</v>
      </c>
      <c r="I178" s="4">
        <v>0</v>
      </c>
      <c r="J178" s="4">
        <v>0</v>
      </c>
      <c r="K178" s="6">
        <v>0</v>
      </c>
      <c r="L178" s="4">
        <v>0</v>
      </c>
      <c r="M178" s="4">
        <v>842.9</v>
      </c>
      <c r="N178" s="8">
        <f t="shared" si="4"/>
        <v>491.20000000000073</v>
      </c>
      <c r="P178" s="4">
        <v>0</v>
      </c>
      <c r="Q178" s="4">
        <v>11225.6</v>
      </c>
      <c r="R178">
        <f t="shared" si="5"/>
        <v>0.63792207792207889</v>
      </c>
    </row>
    <row r="179" spans="1:18">
      <c r="A179" s="2">
        <v>45621</v>
      </c>
      <c r="B179" s="4">
        <v>27.4</v>
      </c>
      <c r="C179" s="4">
        <v>19.12</v>
      </c>
      <c r="D179" s="4">
        <v>90.816666666666663</v>
      </c>
      <c r="E179" s="4">
        <v>326.91666666666669</v>
      </c>
      <c r="F179" s="4">
        <v>1.479166666666667</v>
      </c>
      <c r="G179" s="4">
        <v>13.70541666666667</v>
      </c>
      <c r="H179" s="4">
        <v>24.958749999999998</v>
      </c>
      <c r="I179" s="4">
        <v>0</v>
      </c>
      <c r="J179" s="4">
        <v>0</v>
      </c>
      <c r="K179" s="6">
        <v>0</v>
      </c>
      <c r="L179" s="4">
        <v>0</v>
      </c>
      <c r="M179" s="4">
        <v>58.6</v>
      </c>
      <c r="N179" s="8">
        <f t="shared" si="4"/>
        <v>30.600000000000364</v>
      </c>
      <c r="P179" s="4">
        <v>0</v>
      </c>
      <c r="Q179" s="4">
        <v>11256.2</v>
      </c>
      <c r="R179">
        <f t="shared" si="5"/>
        <v>3.9740259740260214E-2</v>
      </c>
    </row>
    <row r="180" spans="1:18">
      <c r="A180" s="2">
        <v>45622</v>
      </c>
      <c r="B180" s="4">
        <v>25.82</v>
      </c>
      <c r="C180" s="4">
        <v>16.190000000000001</v>
      </c>
      <c r="D180" s="4">
        <v>85.202500000000001</v>
      </c>
      <c r="E180" s="4">
        <v>344.66666666666669</v>
      </c>
      <c r="F180" s="4">
        <v>4.7566666666666668</v>
      </c>
      <c r="G180" s="4">
        <v>14.744999999999999</v>
      </c>
      <c r="H180" s="4">
        <v>22.97708333333334</v>
      </c>
      <c r="I180" s="4">
        <v>0</v>
      </c>
      <c r="J180" s="4">
        <v>0</v>
      </c>
      <c r="K180" s="6">
        <v>0</v>
      </c>
      <c r="L180" s="4">
        <v>0</v>
      </c>
      <c r="M180" s="4">
        <v>82.8</v>
      </c>
      <c r="N180" s="8">
        <f t="shared" si="4"/>
        <v>48.699999999998909</v>
      </c>
      <c r="P180" s="4">
        <v>0</v>
      </c>
      <c r="Q180" s="4">
        <v>11304.9</v>
      </c>
      <c r="R180">
        <f t="shared" si="5"/>
        <v>6.324675324675183E-2</v>
      </c>
    </row>
    <row r="181" spans="1:18">
      <c r="A181" s="2">
        <v>45623</v>
      </c>
      <c r="B181" s="4">
        <v>23.44</v>
      </c>
      <c r="C181" s="4">
        <v>15.24</v>
      </c>
      <c r="D181" s="4">
        <v>68.91</v>
      </c>
      <c r="E181" s="4">
        <v>408.41666666666669</v>
      </c>
      <c r="F181" s="4">
        <v>4.9541666666666666</v>
      </c>
      <c r="G181" s="4">
        <v>7.4741666666666662</v>
      </c>
      <c r="H181" s="4">
        <v>20.665416666666669</v>
      </c>
      <c r="I181" s="4">
        <v>0</v>
      </c>
      <c r="J181" s="4">
        <v>0</v>
      </c>
      <c r="K181" s="6">
        <v>0</v>
      </c>
      <c r="L181" s="4">
        <v>0</v>
      </c>
      <c r="M181" s="4">
        <v>83.4</v>
      </c>
      <c r="N181" s="8">
        <f t="shared" si="4"/>
        <v>47.600000000000364</v>
      </c>
      <c r="P181" s="4">
        <v>0</v>
      </c>
      <c r="Q181" s="4">
        <v>11352.5</v>
      </c>
      <c r="R181">
        <f t="shared" si="5"/>
        <v>6.1818181818182293E-2</v>
      </c>
    </row>
    <row r="182" spans="1:18">
      <c r="A182" s="2">
        <v>45624</v>
      </c>
      <c r="B182" s="4">
        <v>22.6</v>
      </c>
      <c r="C182" s="4">
        <v>15.05</v>
      </c>
      <c r="D182" s="4">
        <v>68.02</v>
      </c>
      <c r="E182" s="4">
        <v>408.16666666666669</v>
      </c>
      <c r="F182" s="4">
        <v>4.8812500000000014</v>
      </c>
      <c r="G182" s="4">
        <v>7.5254166666666658</v>
      </c>
      <c r="H182" s="4">
        <v>20.23</v>
      </c>
      <c r="I182" s="4">
        <v>0</v>
      </c>
      <c r="J182" s="4">
        <v>0</v>
      </c>
      <c r="K182" s="6">
        <v>0</v>
      </c>
      <c r="L182" s="4">
        <v>0</v>
      </c>
      <c r="M182" s="4">
        <v>70.599999999999994</v>
      </c>
      <c r="N182" s="8">
        <f t="shared" si="4"/>
        <v>40.100000000000364</v>
      </c>
      <c r="P182" s="4">
        <v>0</v>
      </c>
      <c r="Q182" s="4">
        <v>11392.6</v>
      </c>
      <c r="R182">
        <f t="shared" si="5"/>
        <v>5.2077922077922549E-2</v>
      </c>
    </row>
    <row r="183" spans="1:18">
      <c r="A183" s="2">
        <v>45625</v>
      </c>
      <c r="B183" s="4">
        <v>22.23</v>
      </c>
      <c r="C183" s="4">
        <v>12.38</v>
      </c>
      <c r="D183" s="4">
        <v>66.071666666666673</v>
      </c>
      <c r="E183" s="4">
        <v>393.375</v>
      </c>
      <c r="F183" s="4">
        <v>4.1491666666666669</v>
      </c>
      <c r="G183" s="4">
        <v>7.7529166666666667</v>
      </c>
      <c r="H183" s="4">
        <v>19.137916666666669</v>
      </c>
      <c r="I183" s="4">
        <v>0</v>
      </c>
      <c r="J183" s="4">
        <v>0</v>
      </c>
      <c r="K183" s="6">
        <v>0</v>
      </c>
      <c r="L183" s="4">
        <v>0</v>
      </c>
      <c r="M183" s="4">
        <v>6571.2999999999993</v>
      </c>
      <c r="N183" s="8">
        <f t="shared" si="4"/>
        <v>27.299999999999272</v>
      </c>
      <c r="P183" s="4">
        <v>0</v>
      </c>
      <c r="Q183" s="4">
        <v>11419.9</v>
      </c>
      <c r="R183">
        <f t="shared" si="5"/>
        <v>3.545454545454451E-2</v>
      </c>
    </row>
    <row r="184" spans="1:18">
      <c r="A184" s="2">
        <v>45626</v>
      </c>
      <c r="B184" s="4">
        <v>25.82</v>
      </c>
      <c r="C184" s="4">
        <v>10.84</v>
      </c>
      <c r="D184" s="4">
        <v>79.148333333333326</v>
      </c>
      <c r="E184" s="4">
        <v>359.04166666666669</v>
      </c>
      <c r="F184" s="4">
        <v>0.98125000000000007</v>
      </c>
      <c r="G184" s="4">
        <v>19.272500000000001</v>
      </c>
      <c r="H184" s="4">
        <v>20.44916666666667</v>
      </c>
      <c r="I184" s="4">
        <v>0</v>
      </c>
      <c r="J184" s="4">
        <v>0</v>
      </c>
      <c r="K184" s="6">
        <v>0</v>
      </c>
      <c r="L184" s="4">
        <v>0</v>
      </c>
      <c r="M184" s="4">
        <v>66.400000000000006</v>
      </c>
      <c r="N184" s="8">
        <f t="shared" si="4"/>
        <v>34.600000000000364</v>
      </c>
      <c r="P184" s="4">
        <v>0</v>
      </c>
      <c r="Q184" s="4">
        <v>11454.5</v>
      </c>
      <c r="R184">
        <f t="shared" si="5"/>
        <v>4.4935064935065411E-2</v>
      </c>
    </row>
    <row r="185" spans="1:18">
      <c r="A185" s="2">
        <v>45627</v>
      </c>
      <c r="B185" s="4">
        <v>26.52</v>
      </c>
      <c r="C185" s="4">
        <v>13.19</v>
      </c>
      <c r="D185" s="4">
        <v>84.844166666666666</v>
      </c>
      <c r="E185" s="4">
        <v>381.04166666666669</v>
      </c>
      <c r="F185" s="4">
        <v>1.333333333333333</v>
      </c>
      <c r="G185" s="4">
        <v>9.7120833333333341</v>
      </c>
      <c r="H185" s="4">
        <v>21.89916666666667</v>
      </c>
      <c r="I185" s="4">
        <v>0</v>
      </c>
      <c r="J185" s="4">
        <v>0</v>
      </c>
      <c r="K185" s="6">
        <v>0</v>
      </c>
      <c r="L185" s="4">
        <v>0</v>
      </c>
      <c r="M185" s="4">
        <v>66</v>
      </c>
      <c r="N185" s="8">
        <f t="shared" si="4"/>
        <v>43.5</v>
      </c>
      <c r="P185" s="4">
        <v>0</v>
      </c>
      <c r="Q185" s="4">
        <v>11498</v>
      </c>
      <c r="R185">
        <f t="shared" si="5"/>
        <v>5.6493506493506492E-2</v>
      </c>
    </row>
    <row r="186" spans="1:18">
      <c r="A186" s="2">
        <v>45628</v>
      </c>
      <c r="B186" s="4">
        <v>25.68</v>
      </c>
      <c r="C186" s="4">
        <v>14.51</v>
      </c>
      <c r="D186" s="4">
        <v>90.303749999999994</v>
      </c>
      <c r="E186" s="4">
        <v>346.25</v>
      </c>
      <c r="F186" s="4">
        <v>2.0754166666666669</v>
      </c>
      <c r="G186" s="4">
        <v>17.018333333333331</v>
      </c>
      <c r="H186" s="4">
        <v>22.243749999999999</v>
      </c>
      <c r="I186" s="4">
        <v>0</v>
      </c>
      <c r="J186" s="4">
        <v>0</v>
      </c>
      <c r="K186" s="6">
        <v>0.2</v>
      </c>
      <c r="L186" s="4">
        <v>0</v>
      </c>
      <c r="M186" s="4">
        <v>71.5</v>
      </c>
      <c r="N186" s="8">
        <f t="shared" si="4"/>
        <v>52.200000000000728</v>
      </c>
      <c r="P186" s="4">
        <v>0.2</v>
      </c>
      <c r="Q186" s="4">
        <v>11550.2</v>
      </c>
      <c r="R186">
        <f t="shared" si="5"/>
        <v>6.7792207792208736E-2</v>
      </c>
    </row>
    <row r="187" spans="1:18">
      <c r="A187" s="2">
        <v>45629</v>
      </c>
      <c r="B187" s="4">
        <v>27.03</v>
      </c>
      <c r="C187" s="4">
        <v>16.850000000000001</v>
      </c>
      <c r="D187" s="4">
        <v>88.505416666666676</v>
      </c>
      <c r="E187" s="4">
        <v>307.66666666666669</v>
      </c>
      <c r="F187" s="4">
        <v>0.87041666666666673</v>
      </c>
      <c r="G187" s="4">
        <v>17.96916666666667</v>
      </c>
      <c r="H187" s="4">
        <v>24.341666666666669</v>
      </c>
      <c r="I187" s="4">
        <v>0</v>
      </c>
      <c r="J187" s="4">
        <v>0</v>
      </c>
      <c r="K187" s="6">
        <v>0.2</v>
      </c>
      <c r="L187" s="4">
        <v>0</v>
      </c>
      <c r="M187" s="4">
        <v>101.3</v>
      </c>
      <c r="N187" s="8">
        <f t="shared" si="4"/>
        <v>58.699999999998909</v>
      </c>
      <c r="P187" s="4">
        <v>0.2</v>
      </c>
      <c r="Q187" s="4">
        <v>11608.9</v>
      </c>
      <c r="R187">
        <f t="shared" si="5"/>
        <v>7.6233766233764821E-2</v>
      </c>
    </row>
    <row r="188" spans="1:18">
      <c r="A188" s="2">
        <v>45630</v>
      </c>
      <c r="B188" s="4">
        <v>25.79</v>
      </c>
      <c r="C188" s="4">
        <v>17</v>
      </c>
      <c r="D188" s="4">
        <v>83.311666666666667</v>
      </c>
      <c r="E188" s="4">
        <v>379.20833333333331</v>
      </c>
      <c r="F188" s="4">
        <v>3.3579166666666671</v>
      </c>
      <c r="G188" s="4">
        <v>12.824999999999999</v>
      </c>
      <c r="H188" s="4">
        <v>23.06291666666667</v>
      </c>
      <c r="I188" s="4">
        <v>0</v>
      </c>
      <c r="J188" s="4">
        <v>0</v>
      </c>
      <c r="K188" s="6">
        <v>0</v>
      </c>
      <c r="L188" s="4">
        <v>0</v>
      </c>
      <c r="M188" s="4">
        <v>845.4</v>
      </c>
      <c r="N188" s="8">
        <f t="shared" si="4"/>
        <v>487.70000000000073</v>
      </c>
      <c r="P188" s="4">
        <v>0</v>
      </c>
      <c r="Q188" s="4">
        <v>12096.6</v>
      </c>
      <c r="R188">
        <f t="shared" si="5"/>
        <v>0.63337662337662437</v>
      </c>
    </row>
    <row r="189" spans="1:18">
      <c r="A189" s="2">
        <v>45631</v>
      </c>
      <c r="B189" s="4">
        <v>25.53</v>
      </c>
      <c r="C189" s="4">
        <v>16.850000000000001</v>
      </c>
      <c r="D189" s="4">
        <v>82.950416666666669</v>
      </c>
      <c r="E189" s="4">
        <v>379.125</v>
      </c>
      <c r="F189" s="4">
        <v>3.6487500000000002</v>
      </c>
      <c r="G189" s="4">
        <v>7.6716666666666669</v>
      </c>
      <c r="H189" s="4">
        <v>22.666250000000002</v>
      </c>
      <c r="I189" s="4">
        <v>0</v>
      </c>
      <c r="J189" s="4">
        <v>0</v>
      </c>
      <c r="K189" s="6">
        <v>0</v>
      </c>
      <c r="L189" s="4">
        <v>0</v>
      </c>
      <c r="M189" s="4">
        <v>11.5</v>
      </c>
      <c r="N189" s="8">
        <f t="shared" si="4"/>
        <v>11.199999999998909</v>
      </c>
      <c r="P189" s="4">
        <v>0</v>
      </c>
      <c r="Q189" s="4">
        <v>12107.8</v>
      </c>
      <c r="R189">
        <f t="shared" si="5"/>
        <v>1.4545454545453128E-2</v>
      </c>
    </row>
    <row r="190" spans="1:18">
      <c r="A190" s="2">
        <v>45632</v>
      </c>
      <c r="B190" s="4">
        <v>25.53</v>
      </c>
      <c r="C190" s="4">
        <v>15.27</v>
      </c>
      <c r="D190" s="4">
        <v>84.939583333333331</v>
      </c>
      <c r="E190" s="4">
        <v>378.08333333333331</v>
      </c>
      <c r="F190" s="4">
        <v>4.1574999999999998</v>
      </c>
      <c r="G190" s="4">
        <v>4.1829166666666664</v>
      </c>
      <c r="H190" s="4">
        <v>22.751666666666669</v>
      </c>
      <c r="I190" s="4">
        <v>0</v>
      </c>
      <c r="J190" s="4">
        <v>0</v>
      </c>
      <c r="K190" s="6">
        <v>0</v>
      </c>
      <c r="L190" s="4">
        <v>0</v>
      </c>
      <c r="M190" s="4">
        <v>6615.6</v>
      </c>
      <c r="N190" s="8">
        <f t="shared" si="4"/>
        <v>32.700000000000728</v>
      </c>
      <c r="P190" s="4">
        <v>0</v>
      </c>
      <c r="Q190" s="4">
        <v>12140.5</v>
      </c>
      <c r="R190">
        <f t="shared" si="5"/>
        <v>4.246753246753341E-2</v>
      </c>
    </row>
    <row r="191" spans="1:18">
      <c r="A191" s="2">
        <v>45633</v>
      </c>
      <c r="B191" s="4">
        <v>25.27</v>
      </c>
      <c r="C191" s="4">
        <v>18.059999999999999</v>
      </c>
      <c r="D191" s="4">
        <v>85.16458333333334</v>
      </c>
      <c r="E191" s="4">
        <v>371.875</v>
      </c>
      <c r="F191" s="4">
        <v>6.1662500000000007</v>
      </c>
      <c r="G191" s="4">
        <v>7.21875</v>
      </c>
      <c r="H191" s="4">
        <v>22.525416666666668</v>
      </c>
      <c r="I191" s="4">
        <v>0</v>
      </c>
      <c r="J191" s="4">
        <v>0</v>
      </c>
      <c r="K191" s="6">
        <v>0</v>
      </c>
      <c r="L191" s="4">
        <v>0</v>
      </c>
      <c r="M191" s="4">
        <v>81.400000000000006</v>
      </c>
      <c r="N191" s="8">
        <f t="shared" si="4"/>
        <v>53.399999999999636</v>
      </c>
      <c r="P191" s="4">
        <v>0</v>
      </c>
      <c r="Q191" s="4">
        <v>12193.9</v>
      </c>
      <c r="R191">
        <f t="shared" si="5"/>
        <v>6.9350649350648871E-2</v>
      </c>
    </row>
    <row r="192" spans="1:18">
      <c r="A192" s="2">
        <v>45634</v>
      </c>
      <c r="B192" s="4">
        <v>21.39</v>
      </c>
      <c r="C192" s="4">
        <v>16.04</v>
      </c>
      <c r="D192" s="4">
        <v>80.558333333333337</v>
      </c>
      <c r="E192" s="4">
        <v>238.70833333333329</v>
      </c>
      <c r="F192" s="4">
        <v>5.8975</v>
      </c>
      <c r="G192" s="4">
        <v>4.9716666666666667</v>
      </c>
      <c r="H192" s="4">
        <v>19.638750000000002</v>
      </c>
      <c r="I192" s="4">
        <v>0</v>
      </c>
      <c r="J192" s="4">
        <v>0</v>
      </c>
      <c r="K192" s="6">
        <v>0</v>
      </c>
      <c r="L192" s="4">
        <v>0</v>
      </c>
      <c r="M192" s="4">
        <v>80.5</v>
      </c>
      <c r="N192" s="8">
        <f t="shared" si="4"/>
        <v>53.200000000000728</v>
      </c>
      <c r="P192" s="4">
        <v>0</v>
      </c>
      <c r="Q192" s="4">
        <v>12247.1</v>
      </c>
      <c r="R192">
        <f t="shared" si="5"/>
        <v>6.9090909090910035E-2</v>
      </c>
    </row>
    <row r="193" spans="1:18">
      <c r="A193" s="2">
        <v>45635</v>
      </c>
      <c r="B193" s="4">
        <v>23.55</v>
      </c>
      <c r="C193" s="4">
        <v>15.27</v>
      </c>
      <c r="D193" s="4">
        <v>81.563749999999999</v>
      </c>
      <c r="E193" s="4">
        <v>347.375</v>
      </c>
      <c r="F193" s="4">
        <v>2.0750000000000002</v>
      </c>
      <c r="G193" s="4">
        <v>10.9125</v>
      </c>
      <c r="H193" s="4">
        <v>21.849583333333332</v>
      </c>
      <c r="I193" s="4">
        <v>0</v>
      </c>
      <c r="J193" s="4">
        <v>0</v>
      </c>
      <c r="K193" s="6">
        <v>0</v>
      </c>
      <c r="L193" s="4">
        <v>0</v>
      </c>
      <c r="M193" s="4">
        <v>78.5</v>
      </c>
      <c r="N193" s="8">
        <f t="shared" si="4"/>
        <v>54.399999999999636</v>
      </c>
      <c r="P193" s="4">
        <v>0</v>
      </c>
      <c r="Q193" s="4">
        <v>12301.5</v>
      </c>
      <c r="R193">
        <f t="shared" si="5"/>
        <v>7.0649350649350171E-2</v>
      </c>
    </row>
    <row r="194" spans="1:18">
      <c r="A194" s="2">
        <v>45636</v>
      </c>
      <c r="B194" s="4">
        <v>23.74</v>
      </c>
      <c r="C194" s="4">
        <v>15.82</v>
      </c>
      <c r="D194" s="4">
        <v>88.139583333333334</v>
      </c>
      <c r="E194" s="4">
        <v>363.83333333333331</v>
      </c>
      <c r="F194" s="4">
        <v>2.9216666666666669</v>
      </c>
      <c r="G194" s="4">
        <v>10.10541666666667</v>
      </c>
      <c r="H194" s="4">
        <v>22.045833333333331</v>
      </c>
      <c r="I194" s="4">
        <v>0</v>
      </c>
      <c r="J194" s="4">
        <v>0</v>
      </c>
      <c r="K194" s="6">
        <v>0</v>
      </c>
      <c r="L194" s="4">
        <v>0</v>
      </c>
      <c r="M194" s="4">
        <v>411.6</v>
      </c>
      <c r="N194" s="8">
        <f t="shared" ref="N194:N257" si="6">Q194-Q193</f>
        <v>275.70000000000073</v>
      </c>
      <c r="P194" s="4">
        <v>0</v>
      </c>
      <c r="Q194" s="4">
        <v>12577.2</v>
      </c>
      <c r="R194">
        <f t="shared" si="5"/>
        <v>0.35805194805194901</v>
      </c>
    </row>
    <row r="195" spans="1:18">
      <c r="A195" s="2">
        <v>45637</v>
      </c>
      <c r="B195" s="4">
        <v>24.8</v>
      </c>
      <c r="C195" s="4">
        <v>17.399999999999999</v>
      </c>
      <c r="D195" s="4">
        <v>87.938333333333333</v>
      </c>
      <c r="E195" s="4">
        <v>375.70833333333331</v>
      </c>
      <c r="F195" s="4">
        <v>3.788333333333334</v>
      </c>
      <c r="G195" s="4">
        <v>7.7054166666666672</v>
      </c>
      <c r="H195" s="4">
        <v>22.975416666666661</v>
      </c>
      <c r="I195" s="4">
        <v>0</v>
      </c>
      <c r="J195" s="4">
        <v>0</v>
      </c>
      <c r="K195" s="6">
        <v>0</v>
      </c>
      <c r="L195" s="4">
        <v>0</v>
      </c>
      <c r="M195" s="4">
        <v>0</v>
      </c>
      <c r="N195" s="8">
        <f t="shared" si="6"/>
        <v>0</v>
      </c>
      <c r="P195" s="4">
        <v>0</v>
      </c>
      <c r="Q195" s="4">
        <v>12577.2</v>
      </c>
      <c r="R195">
        <f t="shared" ref="R195:R258" si="7">N195/770</f>
        <v>0</v>
      </c>
    </row>
    <row r="196" spans="1:18">
      <c r="A196" s="2">
        <v>45638</v>
      </c>
      <c r="B196" s="4">
        <v>22.89</v>
      </c>
      <c r="C196" s="4">
        <v>16.850000000000001</v>
      </c>
      <c r="D196" s="4">
        <v>83.413333333333341</v>
      </c>
      <c r="E196" s="4">
        <v>354.125</v>
      </c>
      <c r="F196" s="4">
        <v>5.5545833333333334</v>
      </c>
      <c r="G196" s="4">
        <v>6.4762500000000003</v>
      </c>
      <c r="H196" s="4">
        <v>21.611666666666661</v>
      </c>
      <c r="I196" s="4">
        <v>0</v>
      </c>
      <c r="J196" s="4">
        <v>0</v>
      </c>
      <c r="K196" s="6">
        <v>0</v>
      </c>
      <c r="L196" s="4">
        <v>0</v>
      </c>
      <c r="M196" s="4">
        <v>0</v>
      </c>
      <c r="N196" s="8">
        <f t="shared" si="6"/>
        <v>0</v>
      </c>
      <c r="P196" s="4">
        <v>0</v>
      </c>
      <c r="Q196" s="4">
        <v>12577.2</v>
      </c>
      <c r="R196">
        <f t="shared" si="7"/>
        <v>0</v>
      </c>
    </row>
    <row r="197" spans="1:18">
      <c r="A197" s="2">
        <v>45639</v>
      </c>
      <c r="B197" s="4">
        <v>22.27</v>
      </c>
      <c r="C197" s="4">
        <v>15.38</v>
      </c>
      <c r="D197" s="4">
        <v>85.67</v>
      </c>
      <c r="E197" s="4">
        <v>195.75</v>
      </c>
      <c r="F197" s="4">
        <v>6.5179166666666672</v>
      </c>
      <c r="G197" s="4">
        <v>2.0566666666666671</v>
      </c>
      <c r="H197" s="4">
        <v>20.057500000000001</v>
      </c>
      <c r="I197" s="4">
        <v>0</v>
      </c>
      <c r="J197" s="4">
        <v>0</v>
      </c>
      <c r="K197" s="6">
        <v>0</v>
      </c>
      <c r="L197" s="4">
        <v>0</v>
      </c>
      <c r="M197" s="4">
        <v>0</v>
      </c>
      <c r="N197" s="8">
        <f t="shared" si="6"/>
        <v>0</v>
      </c>
      <c r="P197" s="4">
        <v>0</v>
      </c>
      <c r="Q197" s="4">
        <v>12577.2</v>
      </c>
      <c r="R197">
        <f t="shared" si="7"/>
        <v>0</v>
      </c>
    </row>
    <row r="198" spans="1:18">
      <c r="A198" s="2">
        <v>45640</v>
      </c>
      <c r="B198" s="4">
        <v>17.91</v>
      </c>
      <c r="C198" s="4">
        <v>12.78</v>
      </c>
      <c r="D198" s="4">
        <v>76.345833333333331</v>
      </c>
      <c r="E198" s="4">
        <v>195</v>
      </c>
      <c r="F198" s="4">
        <v>6.5958333333333341</v>
      </c>
      <c r="G198" s="4">
        <v>3.3008333333333328</v>
      </c>
      <c r="H198" s="4">
        <v>15.817083333333329</v>
      </c>
      <c r="I198" s="4">
        <v>0</v>
      </c>
      <c r="J198" s="4">
        <v>0</v>
      </c>
      <c r="K198" s="6">
        <v>0</v>
      </c>
      <c r="L198" s="4">
        <v>0</v>
      </c>
      <c r="M198" s="4">
        <v>0</v>
      </c>
      <c r="N198" s="8">
        <f t="shared" si="6"/>
        <v>0</v>
      </c>
      <c r="P198" s="4">
        <v>0</v>
      </c>
      <c r="Q198" s="4">
        <v>12577.2</v>
      </c>
      <c r="R198">
        <f t="shared" si="7"/>
        <v>0</v>
      </c>
    </row>
    <row r="199" spans="1:18">
      <c r="A199" s="2">
        <v>45641</v>
      </c>
      <c r="B199" s="4">
        <v>19.079999999999998</v>
      </c>
      <c r="C199" s="4">
        <v>12.53</v>
      </c>
      <c r="D199" s="4">
        <v>75.454999999999998</v>
      </c>
      <c r="E199" s="4">
        <v>338.66666666666669</v>
      </c>
      <c r="F199" s="4">
        <v>5.1879166666666672</v>
      </c>
      <c r="G199" s="4">
        <v>3.4624999999999999</v>
      </c>
      <c r="H199" s="4">
        <v>17.084166666666661</v>
      </c>
      <c r="I199" s="4">
        <v>0</v>
      </c>
      <c r="J199" s="4">
        <v>0</v>
      </c>
      <c r="K199" s="6">
        <v>0</v>
      </c>
      <c r="L199" s="4">
        <v>0</v>
      </c>
      <c r="M199" s="4">
        <v>0</v>
      </c>
      <c r="N199" s="8">
        <f t="shared" si="6"/>
        <v>0</v>
      </c>
      <c r="P199" s="4">
        <v>0</v>
      </c>
      <c r="Q199" s="4">
        <v>12577.2</v>
      </c>
      <c r="R199">
        <f t="shared" si="7"/>
        <v>0</v>
      </c>
    </row>
    <row r="200" spans="1:18">
      <c r="A200" s="2">
        <v>45642</v>
      </c>
      <c r="B200" s="4">
        <v>18.02</v>
      </c>
      <c r="C200" s="4">
        <v>12.27</v>
      </c>
      <c r="D200" s="4">
        <v>77.298333333333332</v>
      </c>
      <c r="E200" s="4">
        <v>126.7916666666667</v>
      </c>
      <c r="F200" s="4">
        <v>3.4145833333333329</v>
      </c>
      <c r="G200" s="4">
        <v>8.9829166666666662</v>
      </c>
      <c r="H200" s="4">
        <v>16.098333333333329</v>
      </c>
      <c r="I200" s="4">
        <v>0</v>
      </c>
      <c r="J200" s="4">
        <v>0</v>
      </c>
      <c r="K200" s="6">
        <v>0</v>
      </c>
      <c r="L200" s="4">
        <v>0</v>
      </c>
      <c r="M200" s="4">
        <v>0</v>
      </c>
      <c r="N200" s="8">
        <f t="shared" si="6"/>
        <v>0</v>
      </c>
      <c r="P200" s="4">
        <v>0</v>
      </c>
      <c r="Q200" s="4">
        <v>12577.2</v>
      </c>
      <c r="R200">
        <f t="shared" si="7"/>
        <v>0</v>
      </c>
    </row>
    <row r="201" spans="1:18">
      <c r="A201" s="2">
        <v>45643</v>
      </c>
      <c r="B201" s="4">
        <v>21.61</v>
      </c>
      <c r="C201" s="4">
        <v>10.95</v>
      </c>
      <c r="D201" s="4">
        <v>86.308749999999989</v>
      </c>
      <c r="E201" s="4">
        <v>363.375</v>
      </c>
      <c r="F201" s="4">
        <v>3.5408333333333331</v>
      </c>
      <c r="G201" s="4">
        <v>11.17333333333333</v>
      </c>
      <c r="H201" s="4">
        <v>18.139166666666672</v>
      </c>
      <c r="I201" s="4">
        <v>0</v>
      </c>
      <c r="J201" s="4">
        <v>0</v>
      </c>
      <c r="K201" s="6">
        <v>0</v>
      </c>
      <c r="L201" s="4">
        <v>0</v>
      </c>
      <c r="M201" s="4">
        <v>421.2</v>
      </c>
      <c r="N201" s="8">
        <f t="shared" si="6"/>
        <v>238.79999999999927</v>
      </c>
      <c r="P201" s="4">
        <v>0</v>
      </c>
      <c r="Q201" s="4">
        <v>12816</v>
      </c>
      <c r="R201">
        <f t="shared" si="7"/>
        <v>0.3101298701298692</v>
      </c>
    </row>
    <row r="202" spans="1:18">
      <c r="A202" s="2">
        <v>45644</v>
      </c>
      <c r="B202" s="4">
        <v>20.81</v>
      </c>
      <c r="C202" s="4">
        <v>14.07</v>
      </c>
      <c r="D202" s="4">
        <v>73.55916666666667</v>
      </c>
      <c r="E202" s="4">
        <v>299.25</v>
      </c>
      <c r="F202" s="4">
        <v>6.0949999999999998</v>
      </c>
      <c r="G202" s="4">
        <v>4.9641666666666664</v>
      </c>
      <c r="H202" s="4">
        <v>18.55083333333333</v>
      </c>
      <c r="I202" s="4">
        <v>0</v>
      </c>
      <c r="J202" s="4">
        <v>0</v>
      </c>
      <c r="K202" s="6">
        <v>0</v>
      </c>
      <c r="L202" s="4">
        <v>0</v>
      </c>
      <c r="M202" s="4">
        <v>0</v>
      </c>
      <c r="N202" s="8">
        <f t="shared" si="6"/>
        <v>0</v>
      </c>
      <c r="P202" s="4">
        <v>0</v>
      </c>
      <c r="Q202" s="4">
        <v>12816</v>
      </c>
      <c r="R202">
        <f t="shared" si="7"/>
        <v>0</v>
      </c>
    </row>
    <row r="203" spans="1:18">
      <c r="A203" s="2">
        <v>45645</v>
      </c>
      <c r="B203" s="4">
        <v>16.12</v>
      </c>
      <c r="C203" s="4">
        <v>13.15</v>
      </c>
      <c r="D203" s="4">
        <v>73.083749999999995</v>
      </c>
      <c r="E203" s="4">
        <v>150.08333333333329</v>
      </c>
      <c r="F203" s="4">
        <v>4.6258333333333326</v>
      </c>
      <c r="G203" s="4">
        <v>6.3716666666666661</v>
      </c>
      <c r="H203" s="4">
        <v>15.807916666666671</v>
      </c>
      <c r="I203" s="4">
        <v>0</v>
      </c>
      <c r="J203" s="4">
        <v>0</v>
      </c>
      <c r="K203" s="6">
        <v>0</v>
      </c>
      <c r="L203" s="4">
        <v>0</v>
      </c>
      <c r="M203" s="4">
        <v>0</v>
      </c>
      <c r="N203" s="8">
        <f t="shared" si="6"/>
        <v>0</v>
      </c>
      <c r="P203" s="4">
        <v>0</v>
      </c>
      <c r="Q203" s="4">
        <v>12816</v>
      </c>
      <c r="R203">
        <f t="shared" si="7"/>
        <v>0</v>
      </c>
    </row>
    <row r="204" spans="1:18">
      <c r="A204" s="2">
        <v>45646</v>
      </c>
      <c r="B204" s="4">
        <v>20.22</v>
      </c>
      <c r="C204" s="4">
        <v>12.34</v>
      </c>
      <c r="D204" s="4">
        <v>85.932083333333324</v>
      </c>
      <c r="E204" s="4">
        <v>360.625</v>
      </c>
      <c r="F204" s="4">
        <v>3.8666666666666671</v>
      </c>
      <c r="G204" s="4">
        <v>9.0108333333333324</v>
      </c>
      <c r="H204" s="4">
        <v>18.21458333333333</v>
      </c>
      <c r="I204" s="4">
        <v>0</v>
      </c>
      <c r="J204" s="4">
        <v>0</v>
      </c>
      <c r="K204" s="6">
        <v>0</v>
      </c>
      <c r="L204" s="4">
        <v>0</v>
      </c>
      <c r="M204" s="4">
        <v>0</v>
      </c>
      <c r="N204" s="8">
        <f t="shared" si="6"/>
        <v>0</v>
      </c>
      <c r="P204" s="4">
        <v>0</v>
      </c>
      <c r="Q204" s="4">
        <v>12816</v>
      </c>
      <c r="R204">
        <f t="shared" si="7"/>
        <v>0</v>
      </c>
    </row>
    <row r="205" spans="1:18">
      <c r="A205" s="2">
        <v>45647</v>
      </c>
      <c r="B205" s="4">
        <v>20.51</v>
      </c>
      <c r="C205" s="4">
        <v>13.55</v>
      </c>
      <c r="D205" s="4">
        <v>84.787083333333328</v>
      </c>
      <c r="E205" s="4">
        <v>267.16666666666669</v>
      </c>
      <c r="F205" s="4">
        <v>5.2666666666666666</v>
      </c>
      <c r="G205" s="4">
        <v>9.7833333333333332</v>
      </c>
      <c r="H205" s="4">
        <v>18.439583333333331</v>
      </c>
      <c r="I205" s="4">
        <v>0</v>
      </c>
      <c r="J205" s="4">
        <v>0</v>
      </c>
      <c r="K205" s="6">
        <v>0</v>
      </c>
      <c r="L205" s="4">
        <v>0</v>
      </c>
      <c r="M205" s="4">
        <v>0</v>
      </c>
      <c r="N205" s="8">
        <f t="shared" si="6"/>
        <v>0</v>
      </c>
      <c r="P205" s="4">
        <v>0</v>
      </c>
      <c r="Q205" s="4">
        <v>12816</v>
      </c>
      <c r="R205">
        <f t="shared" si="7"/>
        <v>0</v>
      </c>
    </row>
    <row r="206" spans="1:18">
      <c r="A206" s="2">
        <v>45648</v>
      </c>
      <c r="B206" s="4">
        <v>16.559999999999999</v>
      </c>
      <c r="C206" s="4">
        <v>13.15</v>
      </c>
      <c r="D206" s="4">
        <v>75.832916666666662</v>
      </c>
      <c r="E206" s="4">
        <v>235.66666666666671</v>
      </c>
      <c r="F206" s="4">
        <v>5.97</v>
      </c>
      <c r="G206" s="4">
        <v>5.4058333333333337</v>
      </c>
      <c r="H206" s="4">
        <v>15.795833333333331</v>
      </c>
      <c r="I206" s="4">
        <v>0</v>
      </c>
      <c r="J206" s="4">
        <v>0</v>
      </c>
      <c r="K206" s="6">
        <v>0</v>
      </c>
      <c r="L206" s="4">
        <v>0</v>
      </c>
      <c r="M206" s="4">
        <v>0</v>
      </c>
      <c r="N206" s="8">
        <f t="shared" si="6"/>
        <v>0</v>
      </c>
      <c r="P206" s="4">
        <v>0</v>
      </c>
      <c r="Q206" s="4">
        <v>12816</v>
      </c>
      <c r="R206">
        <f t="shared" si="7"/>
        <v>0</v>
      </c>
    </row>
    <row r="207" spans="1:18">
      <c r="A207" s="2">
        <v>45649</v>
      </c>
      <c r="B207" s="4">
        <v>18.170000000000002</v>
      </c>
      <c r="C207" s="4">
        <v>13.7</v>
      </c>
      <c r="D207" s="4">
        <v>86.997500000000002</v>
      </c>
      <c r="E207" s="4">
        <v>100.375</v>
      </c>
      <c r="F207" s="4">
        <v>3.3845833333333331</v>
      </c>
      <c r="G207" s="4">
        <v>6.2558333333333342</v>
      </c>
      <c r="H207" s="4">
        <v>16.21833333333333</v>
      </c>
      <c r="I207" s="4">
        <v>0</v>
      </c>
      <c r="J207" s="4">
        <v>3.8333333333333331E-3</v>
      </c>
      <c r="K207" s="6">
        <v>6</v>
      </c>
      <c r="L207" s="4">
        <v>0</v>
      </c>
      <c r="M207" s="4">
        <v>0</v>
      </c>
      <c r="N207" s="8">
        <f t="shared" si="6"/>
        <v>0</v>
      </c>
      <c r="P207" s="4">
        <v>6</v>
      </c>
      <c r="Q207" s="4">
        <v>12816</v>
      </c>
      <c r="R207">
        <f t="shared" si="7"/>
        <v>0</v>
      </c>
    </row>
    <row r="208" spans="1:18">
      <c r="A208" s="2">
        <v>45650</v>
      </c>
      <c r="B208" s="4">
        <v>19.489999999999998</v>
      </c>
      <c r="C208" s="4">
        <v>14.51</v>
      </c>
      <c r="D208" s="4">
        <v>93.821250000000006</v>
      </c>
      <c r="E208" s="4">
        <v>134.29166666666671</v>
      </c>
      <c r="F208" s="4">
        <v>2.269166666666667</v>
      </c>
      <c r="G208" s="4">
        <v>8.7725000000000009</v>
      </c>
      <c r="H208" s="4">
        <v>17.770833333333329</v>
      </c>
      <c r="I208" s="4">
        <v>0</v>
      </c>
      <c r="J208" s="4">
        <v>4.8333333333333336E-3</v>
      </c>
      <c r="K208" s="6">
        <v>19.600000000000001</v>
      </c>
      <c r="L208" s="4">
        <v>0</v>
      </c>
      <c r="M208" s="4">
        <v>0</v>
      </c>
      <c r="N208" s="8">
        <f t="shared" si="6"/>
        <v>0</v>
      </c>
      <c r="P208" s="4">
        <v>17.600000000000001</v>
      </c>
      <c r="Q208" s="4">
        <v>12816</v>
      </c>
      <c r="R208">
        <f t="shared" si="7"/>
        <v>0</v>
      </c>
    </row>
    <row r="209" spans="1:18">
      <c r="A209" s="2">
        <v>45651</v>
      </c>
      <c r="B209" s="4">
        <v>20.260000000000002</v>
      </c>
      <c r="C209" s="4">
        <v>15.93</v>
      </c>
      <c r="D209" s="4">
        <v>95.908333333333346</v>
      </c>
      <c r="E209" s="4">
        <v>160.20833333333329</v>
      </c>
      <c r="F209" s="4">
        <v>3.416666666666667</v>
      </c>
      <c r="G209" s="4">
        <v>12.24041666666667</v>
      </c>
      <c r="H209" s="4">
        <v>19.204166666666669</v>
      </c>
      <c r="I209" s="4">
        <v>0</v>
      </c>
      <c r="J209" s="4">
        <v>0</v>
      </c>
      <c r="K209" s="6">
        <v>0</v>
      </c>
      <c r="L209" s="4">
        <v>0</v>
      </c>
      <c r="M209" s="4">
        <v>0</v>
      </c>
      <c r="N209" s="8">
        <f t="shared" si="6"/>
        <v>0</v>
      </c>
      <c r="P209" s="4">
        <v>0</v>
      </c>
      <c r="Q209" s="4">
        <v>12816</v>
      </c>
      <c r="R209">
        <f t="shared" si="7"/>
        <v>0</v>
      </c>
    </row>
    <row r="210" spans="1:18">
      <c r="A210" s="2">
        <v>45652</v>
      </c>
      <c r="B210" s="4">
        <v>22.12</v>
      </c>
      <c r="C210" s="4">
        <v>16.7</v>
      </c>
      <c r="D210" s="4">
        <v>88.894166666666663</v>
      </c>
      <c r="E210" s="4">
        <v>345.91666666666669</v>
      </c>
      <c r="F210" s="4">
        <v>5.3224999999999998</v>
      </c>
      <c r="G210" s="4">
        <v>7.6029166666666663</v>
      </c>
      <c r="H210" s="4">
        <v>20.62166666666667</v>
      </c>
      <c r="I210" s="4">
        <v>0</v>
      </c>
      <c r="J210" s="4">
        <v>0</v>
      </c>
      <c r="K210" s="6">
        <v>0</v>
      </c>
      <c r="L210" s="4">
        <v>0</v>
      </c>
      <c r="M210" s="4">
        <v>0</v>
      </c>
      <c r="N210" s="8">
        <f t="shared" si="6"/>
        <v>0</v>
      </c>
      <c r="P210" s="4">
        <v>0</v>
      </c>
      <c r="Q210" s="4">
        <v>12816</v>
      </c>
      <c r="R210">
        <f t="shared" si="7"/>
        <v>0</v>
      </c>
    </row>
    <row r="211" spans="1:18">
      <c r="A211" s="2">
        <v>45653</v>
      </c>
      <c r="B211" s="4">
        <v>19.34</v>
      </c>
      <c r="C211" s="4">
        <v>16.45</v>
      </c>
      <c r="D211" s="4">
        <v>86.506666666666661</v>
      </c>
      <c r="E211" s="4">
        <v>134.66666666666671</v>
      </c>
      <c r="F211" s="4">
        <v>4.6179166666666669</v>
      </c>
      <c r="G211" s="4">
        <v>6.0595833333333333</v>
      </c>
      <c r="H211" s="4">
        <v>18.350416666666671</v>
      </c>
      <c r="I211" s="4">
        <v>0</v>
      </c>
      <c r="J211" s="4">
        <v>0</v>
      </c>
      <c r="K211" s="6">
        <v>0.2</v>
      </c>
      <c r="L211" s="4">
        <v>0</v>
      </c>
      <c r="M211" s="4">
        <v>0</v>
      </c>
      <c r="N211" s="8">
        <f t="shared" si="6"/>
        <v>0</v>
      </c>
      <c r="P211" s="4">
        <v>0.2</v>
      </c>
      <c r="Q211" s="4">
        <v>12816</v>
      </c>
      <c r="R211">
        <f t="shared" si="7"/>
        <v>0</v>
      </c>
    </row>
    <row r="212" spans="1:18">
      <c r="A212" s="2">
        <v>45654</v>
      </c>
      <c r="B212" s="4">
        <v>17.66</v>
      </c>
      <c r="C212" s="4">
        <v>11.03</v>
      </c>
      <c r="D212" s="4">
        <v>75.854583333333338</v>
      </c>
      <c r="E212" s="4">
        <v>352.70833333333331</v>
      </c>
      <c r="F212" s="4">
        <v>7.1412499999999994</v>
      </c>
      <c r="G212" s="4">
        <v>4.9024999999999999</v>
      </c>
      <c r="H212" s="4">
        <v>15.944166666666669</v>
      </c>
      <c r="I212" s="4">
        <v>0</v>
      </c>
      <c r="J212" s="4">
        <v>0</v>
      </c>
      <c r="K212" s="6">
        <v>0</v>
      </c>
      <c r="L212" s="4">
        <v>0</v>
      </c>
      <c r="M212" s="4">
        <v>0</v>
      </c>
      <c r="N212" s="8">
        <f t="shared" si="6"/>
        <v>0</v>
      </c>
      <c r="P212" s="4">
        <v>0</v>
      </c>
      <c r="Q212" s="4">
        <v>12816</v>
      </c>
      <c r="R212">
        <f t="shared" si="7"/>
        <v>0</v>
      </c>
    </row>
    <row r="213" spans="1:18">
      <c r="A213" s="2">
        <v>45655</v>
      </c>
      <c r="B213" s="4">
        <v>20.37</v>
      </c>
      <c r="C213" s="4">
        <v>9.9600000000000009</v>
      </c>
      <c r="D213" s="4">
        <v>78.246250000000003</v>
      </c>
      <c r="E213" s="4">
        <v>365.04166666666669</v>
      </c>
      <c r="F213" s="4">
        <v>2.6733333333333329</v>
      </c>
      <c r="G213" s="4">
        <v>13.748749999999999</v>
      </c>
      <c r="H213" s="4">
        <v>17.787500000000001</v>
      </c>
      <c r="I213" s="4">
        <v>0</v>
      </c>
      <c r="J213" s="4">
        <v>0</v>
      </c>
      <c r="K213" s="6">
        <v>0</v>
      </c>
      <c r="L213" s="4">
        <v>0</v>
      </c>
      <c r="M213" s="4">
        <v>0</v>
      </c>
      <c r="N213" s="8">
        <f t="shared" si="6"/>
        <v>0</v>
      </c>
      <c r="P213" s="4">
        <v>0</v>
      </c>
      <c r="Q213" s="4">
        <v>12816</v>
      </c>
      <c r="R213">
        <f t="shared" si="7"/>
        <v>0</v>
      </c>
    </row>
    <row r="214" spans="1:18">
      <c r="A214" s="2">
        <v>45656</v>
      </c>
      <c r="B214" s="4">
        <v>20.51</v>
      </c>
      <c r="C214" s="4">
        <v>14.47</v>
      </c>
      <c r="D214" s="4">
        <v>89.19083333333333</v>
      </c>
      <c r="E214" s="4">
        <v>305.54166666666669</v>
      </c>
      <c r="F214" s="4">
        <v>2.800416666666667</v>
      </c>
      <c r="G214" s="4">
        <v>13.391666666666669</v>
      </c>
      <c r="H214" s="4">
        <v>18.891249999999999</v>
      </c>
      <c r="I214" s="4">
        <v>0</v>
      </c>
      <c r="J214" s="4">
        <v>0</v>
      </c>
      <c r="K214" s="6">
        <v>0</v>
      </c>
      <c r="L214" s="4">
        <v>0</v>
      </c>
      <c r="M214" s="4">
        <v>0</v>
      </c>
      <c r="N214" s="8">
        <f t="shared" si="6"/>
        <v>0</v>
      </c>
      <c r="P214" s="4">
        <v>0</v>
      </c>
      <c r="Q214" s="4">
        <v>12816</v>
      </c>
      <c r="R214">
        <f t="shared" si="7"/>
        <v>0</v>
      </c>
    </row>
    <row r="215" spans="1:18">
      <c r="A215" s="2">
        <v>45657</v>
      </c>
      <c r="B215" s="4">
        <v>20.99</v>
      </c>
      <c r="C215" s="4">
        <v>14.58</v>
      </c>
      <c r="D215" s="4">
        <v>80.442916666666676</v>
      </c>
      <c r="E215" s="4">
        <v>305.08333333333331</v>
      </c>
      <c r="F215" s="4">
        <v>4.0995833333333334</v>
      </c>
      <c r="G215" s="4">
        <v>7.0558333333333332</v>
      </c>
      <c r="H215" s="4">
        <v>18.428333333333331</v>
      </c>
      <c r="I215" s="4">
        <v>0</v>
      </c>
      <c r="J215" s="4">
        <v>0</v>
      </c>
      <c r="K215" s="6">
        <v>0</v>
      </c>
      <c r="L215" s="4">
        <v>0</v>
      </c>
      <c r="M215" s="4">
        <v>0</v>
      </c>
      <c r="N215" s="8">
        <f t="shared" si="6"/>
        <v>0</v>
      </c>
      <c r="P215" s="4">
        <v>0</v>
      </c>
      <c r="Q215" s="4">
        <v>12816</v>
      </c>
      <c r="R215">
        <f t="shared" si="7"/>
        <v>0</v>
      </c>
    </row>
    <row r="216" spans="1:18">
      <c r="A216" s="2">
        <v>45658</v>
      </c>
      <c r="B216" s="4">
        <v>18.68</v>
      </c>
      <c r="C216" s="4">
        <v>14.76</v>
      </c>
      <c r="D216" s="4">
        <v>86.351666666666674</v>
      </c>
      <c r="E216" s="4">
        <v>159.95833333333329</v>
      </c>
      <c r="F216" s="4">
        <v>2.5299999999999998</v>
      </c>
      <c r="G216" s="4">
        <v>6.2054166666666672</v>
      </c>
      <c r="H216" s="4">
        <v>17.53541666666667</v>
      </c>
      <c r="I216" s="4">
        <v>0</v>
      </c>
      <c r="J216" s="4">
        <v>2.0833333333333329E-3</v>
      </c>
      <c r="K216" s="6">
        <v>5.6</v>
      </c>
      <c r="L216" s="4">
        <v>0</v>
      </c>
      <c r="M216" s="4">
        <v>0</v>
      </c>
      <c r="N216" s="8">
        <f t="shared" si="6"/>
        <v>0</v>
      </c>
      <c r="P216" s="4">
        <v>5.6</v>
      </c>
      <c r="Q216" s="4">
        <v>12816</v>
      </c>
      <c r="R216">
        <f t="shared" si="7"/>
        <v>0</v>
      </c>
    </row>
    <row r="217" spans="1:18">
      <c r="A217" s="2">
        <v>45659</v>
      </c>
      <c r="B217" s="4">
        <v>18.46</v>
      </c>
      <c r="C217" s="4">
        <v>15.68</v>
      </c>
      <c r="D217" s="4">
        <v>91.914166666666674</v>
      </c>
      <c r="E217" s="4">
        <v>132.91666666666671</v>
      </c>
      <c r="F217" s="4">
        <v>3.6274999999999999</v>
      </c>
      <c r="G217" s="4">
        <v>7.7491666666666674</v>
      </c>
      <c r="H217" s="4">
        <v>17.550416666666671</v>
      </c>
      <c r="I217" s="4">
        <v>0</v>
      </c>
      <c r="J217" s="4">
        <v>7.4583333333333333E-3</v>
      </c>
      <c r="K217" s="6">
        <v>11.2</v>
      </c>
      <c r="L217" s="4">
        <v>0</v>
      </c>
      <c r="M217" s="4">
        <v>0</v>
      </c>
      <c r="N217" s="8">
        <f t="shared" si="6"/>
        <v>0</v>
      </c>
      <c r="P217" s="4">
        <v>8.4</v>
      </c>
      <c r="Q217" s="4">
        <v>12816</v>
      </c>
      <c r="R217">
        <f t="shared" si="7"/>
        <v>0</v>
      </c>
    </row>
    <row r="218" spans="1:18">
      <c r="A218" s="2">
        <v>45660</v>
      </c>
      <c r="B218" s="4">
        <v>18.829999999999998</v>
      </c>
      <c r="C218" s="4">
        <v>12.78</v>
      </c>
      <c r="D218" s="4">
        <v>81.074583333333337</v>
      </c>
      <c r="E218" s="4">
        <v>239.41666666666671</v>
      </c>
      <c r="F218" s="4">
        <v>5.5629166666666663</v>
      </c>
      <c r="G218" s="4">
        <v>6.4233333333333329</v>
      </c>
      <c r="H218" s="4">
        <v>17.03</v>
      </c>
      <c r="I218" s="4">
        <v>0</v>
      </c>
      <c r="J218" s="4">
        <v>0</v>
      </c>
      <c r="K218" s="6">
        <v>0</v>
      </c>
      <c r="L218" s="4">
        <v>0</v>
      </c>
      <c r="M218" s="4">
        <v>0</v>
      </c>
      <c r="N218" s="8">
        <f t="shared" si="6"/>
        <v>0</v>
      </c>
      <c r="P218" s="4">
        <v>0</v>
      </c>
      <c r="Q218" s="4">
        <v>12816</v>
      </c>
      <c r="R218">
        <f t="shared" si="7"/>
        <v>0</v>
      </c>
    </row>
    <row r="219" spans="1:18">
      <c r="A219" s="2">
        <v>45661</v>
      </c>
      <c r="B219" s="4">
        <v>23.74</v>
      </c>
      <c r="C219" s="4">
        <v>11.06</v>
      </c>
      <c r="D219" s="4">
        <v>84.645416666666662</v>
      </c>
      <c r="E219" s="4">
        <v>327.83333333333331</v>
      </c>
      <c r="F219" s="4">
        <v>1.74875</v>
      </c>
      <c r="G219" s="4">
        <v>11.11875</v>
      </c>
      <c r="H219" s="4">
        <v>18.668749999999999</v>
      </c>
      <c r="I219" s="4">
        <v>0</v>
      </c>
      <c r="J219" s="4">
        <v>0</v>
      </c>
      <c r="K219" s="6">
        <v>0</v>
      </c>
      <c r="L219" s="4">
        <v>0</v>
      </c>
      <c r="M219" s="4">
        <v>0</v>
      </c>
      <c r="N219" s="8">
        <f t="shared" si="6"/>
        <v>0</v>
      </c>
      <c r="P219" s="4">
        <v>0</v>
      </c>
      <c r="Q219" s="4">
        <v>12816</v>
      </c>
      <c r="R219">
        <f t="shared" si="7"/>
        <v>0</v>
      </c>
    </row>
    <row r="220" spans="1:18">
      <c r="A220" s="2">
        <v>45662</v>
      </c>
      <c r="B220" s="4">
        <v>19.45</v>
      </c>
      <c r="C220" s="4">
        <v>15.42</v>
      </c>
      <c r="D220" s="4">
        <v>92.383750000000006</v>
      </c>
      <c r="E220" s="4">
        <v>225</v>
      </c>
      <c r="F220" s="4">
        <v>3.464583333333334</v>
      </c>
      <c r="G220" s="4">
        <v>9.9574999999999996</v>
      </c>
      <c r="H220" s="4">
        <v>18.141666666666669</v>
      </c>
      <c r="I220" s="4">
        <v>0</v>
      </c>
      <c r="J220" s="4">
        <v>0</v>
      </c>
      <c r="K220" s="6">
        <v>0</v>
      </c>
      <c r="L220" s="4">
        <v>0</v>
      </c>
      <c r="M220" s="4">
        <v>0</v>
      </c>
      <c r="N220" s="8">
        <f t="shared" si="6"/>
        <v>0</v>
      </c>
      <c r="P220" s="4">
        <v>0</v>
      </c>
      <c r="Q220" s="4">
        <v>12816</v>
      </c>
      <c r="R220">
        <f t="shared" si="7"/>
        <v>0</v>
      </c>
    </row>
    <row r="221" spans="1:18">
      <c r="A221" s="2">
        <v>45663</v>
      </c>
      <c r="B221" s="4">
        <v>19.93</v>
      </c>
      <c r="C221" s="4">
        <v>12.23</v>
      </c>
      <c r="D221" s="4">
        <v>80.557500000000005</v>
      </c>
      <c r="E221" s="4">
        <v>376.70833333333331</v>
      </c>
      <c r="F221" s="4">
        <v>4.6391666666666671</v>
      </c>
      <c r="G221" s="4">
        <v>10.13875</v>
      </c>
      <c r="H221" s="4">
        <v>17.662500000000001</v>
      </c>
      <c r="I221" s="4">
        <v>0</v>
      </c>
      <c r="J221" s="4">
        <v>0</v>
      </c>
      <c r="K221" s="6">
        <v>0</v>
      </c>
      <c r="L221" s="4">
        <v>0</v>
      </c>
      <c r="M221" s="4">
        <v>0</v>
      </c>
      <c r="N221" s="8">
        <f t="shared" si="6"/>
        <v>0</v>
      </c>
      <c r="P221" s="4">
        <v>0</v>
      </c>
      <c r="Q221" s="4">
        <v>12816</v>
      </c>
      <c r="R221">
        <f t="shared" si="7"/>
        <v>0</v>
      </c>
    </row>
    <row r="222" spans="1:18">
      <c r="A222" s="2">
        <v>45664</v>
      </c>
      <c r="B222" s="4">
        <v>22.01</v>
      </c>
      <c r="C222" s="4">
        <v>9.6300000000000008</v>
      </c>
      <c r="D222" s="4">
        <v>78.919166666666669</v>
      </c>
      <c r="E222" s="4">
        <v>340.95833333333331</v>
      </c>
      <c r="F222" s="4">
        <v>1.9191666666666669</v>
      </c>
      <c r="G222" s="4">
        <v>16.331666666666671</v>
      </c>
      <c r="H222" s="4">
        <v>18.21166666666667</v>
      </c>
      <c r="I222" s="4">
        <v>0</v>
      </c>
      <c r="J222" s="4">
        <v>0</v>
      </c>
      <c r="K222" s="6">
        <v>0</v>
      </c>
      <c r="L222" s="4">
        <v>0</v>
      </c>
      <c r="M222" s="4">
        <v>0</v>
      </c>
      <c r="N222" s="8">
        <f t="shared" si="6"/>
        <v>0</v>
      </c>
      <c r="P222" s="4">
        <v>0</v>
      </c>
      <c r="Q222" s="4">
        <v>12816</v>
      </c>
      <c r="R222">
        <f t="shared" si="7"/>
        <v>0</v>
      </c>
    </row>
    <row r="223" spans="1:18">
      <c r="A223" s="2">
        <v>45665</v>
      </c>
      <c r="B223" s="4">
        <v>20.84</v>
      </c>
      <c r="C223" s="4">
        <v>14.21</v>
      </c>
      <c r="D223" s="4">
        <v>83.12833333333333</v>
      </c>
      <c r="E223" s="4">
        <v>307.29166666666669</v>
      </c>
      <c r="F223" s="4">
        <v>3.0637500000000002</v>
      </c>
      <c r="G223" s="4">
        <v>12.848333333333329</v>
      </c>
      <c r="H223" s="4">
        <v>18.542083333333331</v>
      </c>
      <c r="I223" s="4">
        <v>0</v>
      </c>
      <c r="J223" s="4">
        <v>0</v>
      </c>
      <c r="K223" s="6">
        <v>0.26</v>
      </c>
      <c r="L223" s="4">
        <v>0</v>
      </c>
      <c r="M223" s="4">
        <v>343.1</v>
      </c>
      <c r="N223" s="8">
        <f t="shared" si="6"/>
        <v>203.39999999999964</v>
      </c>
      <c r="O223">
        <f>N223/10/77</f>
        <v>0.2641558441558437</v>
      </c>
      <c r="P223" s="4">
        <v>0</v>
      </c>
      <c r="Q223" s="4">
        <v>13019.4</v>
      </c>
      <c r="R223">
        <f t="shared" si="7"/>
        <v>0.2641558441558437</v>
      </c>
    </row>
    <row r="224" spans="1:18">
      <c r="A224" s="2">
        <v>45666</v>
      </c>
      <c r="B224" s="4">
        <v>19.489999999999998</v>
      </c>
      <c r="C224" s="4">
        <v>12.78</v>
      </c>
      <c r="D224" s="4">
        <v>79.528333333333336</v>
      </c>
      <c r="E224" s="4">
        <v>227.08333333333329</v>
      </c>
      <c r="F224" s="4">
        <v>5.5650000000000004</v>
      </c>
      <c r="G224" s="4">
        <v>8.7779166666666679</v>
      </c>
      <c r="H224" s="4">
        <v>17.231249999999999</v>
      </c>
      <c r="I224" s="4">
        <v>0</v>
      </c>
      <c r="J224" s="4">
        <v>0</v>
      </c>
      <c r="K224" s="6">
        <v>0</v>
      </c>
      <c r="L224" s="4">
        <v>0</v>
      </c>
      <c r="M224" s="4">
        <v>0</v>
      </c>
      <c r="N224" s="8">
        <f t="shared" si="6"/>
        <v>0</v>
      </c>
      <c r="O224">
        <f t="shared" ref="O224:O230" si="8">N224/10/77</f>
        <v>0</v>
      </c>
      <c r="P224" s="4">
        <v>0</v>
      </c>
      <c r="Q224" s="4">
        <v>13019.4</v>
      </c>
      <c r="R224">
        <f t="shared" si="7"/>
        <v>0</v>
      </c>
    </row>
    <row r="225" spans="1:18">
      <c r="A225" s="2">
        <v>45667</v>
      </c>
      <c r="B225" s="4">
        <v>15.82</v>
      </c>
      <c r="C225" s="4">
        <v>11.54</v>
      </c>
      <c r="D225" s="4">
        <v>75.790833333333339</v>
      </c>
      <c r="E225" s="4">
        <v>360.25</v>
      </c>
      <c r="F225" s="4">
        <v>6.6433333333333344</v>
      </c>
      <c r="G225" s="4">
        <v>8.1412499999999994</v>
      </c>
      <c r="H225" s="4">
        <v>14.912916666666669</v>
      </c>
      <c r="I225" s="4">
        <v>0</v>
      </c>
      <c r="J225" s="4">
        <v>0</v>
      </c>
      <c r="K225" s="6">
        <v>0</v>
      </c>
      <c r="L225" s="4">
        <v>0</v>
      </c>
      <c r="M225" s="4">
        <v>0</v>
      </c>
      <c r="N225" s="8">
        <f t="shared" si="6"/>
        <v>0</v>
      </c>
      <c r="O225">
        <f t="shared" si="8"/>
        <v>0</v>
      </c>
      <c r="P225" s="4">
        <v>0</v>
      </c>
      <c r="Q225" s="4">
        <v>13019.4</v>
      </c>
      <c r="R225">
        <f t="shared" si="7"/>
        <v>0</v>
      </c>
    </row>
    <row r="226" spans="1:18">
      <c r="A226" s="2">
        <v>45668</v>
      </c>
      <c r="B226" s="4">
        <v>17.29</v>
      </c>
      <c r="C226" s="4">
        <v>11.32</v>
      </c>
      <c r="D226" s="4">
        <v>79.259166666666673</v>
      </c>
      <c r="E226" s="4">
        <v>361.33333333333331</v>
      </c>
      <c r="F226" s="4">
        <v>5.0733333333333333</v>
      </c>
      <c r="G226" s="4">
        <v>6.548750000000001</v>
      </c>
      <c r="H226" s="4">
        <v>15.741666666666671</v>
      </c>
      <c r="I226" s="4">
        <v>0</v>
      </c>
      <c r="J226" s="4">
        <v>0</v>
      </c>
      <c r="K226" s="6">
        <v>0.2</v>
      </c>
      <c r="L226" s="4">
        <v>0</v>
      </c>
      <c r="M226" s="4">
        <v>0</v>
      </c>
      <c r="N226" s="8">
        <f t="shared" si="6"/>
        <v>0</v>
      </c>
      <c r="O226">
        <f t="shared" si="8"/>
        <v>0</v>
      </c>
      <c r="P226" s="4">
        <v>0.2</v>
      </c>
      <c r="Q226" s="4">
        <v>13019.4</v>
      </c>
      <c r="R226">
        <f t="shared" si="7"/>
        <v>0</v>
      </c>
    </row>
    <row r="227" spans="1:18">
      <c r="A227" s="2">
        <v>45669</v>
      </c>
      <c r="B227" s="4">
        <v>17.989999999999998</v>
      </c>
      <c r="C227" s="4">
        <v>10.37</v>
      </c>
      <c r="D227" s="4">
        <v>57.653750000000002</v>
      </c>
      <c r="E227" s="4">
        <v>374.45833333333331</v>
      </c>
      <c r="F227" s="4">
        <v>4.4329166666666664</v>
      </c>
      <c r="G227" s="4">
        <v>3.7025000000000001</v>
      </c>
      <c r="H227" s="4">
        <v>15.262499999999999</v>
      </c>
      <c r="I227" s="4">
        <v>0</v>
      </c>
      <c r="J227" s="4">
        <v>0</v>
      </c>
      <c r="K227" s="6">
        <v>0</v>
      </c>
      <c r="L227" s="4">
        <v>0</v>
      </c>
      <c r="M227" s="4">
        <v>0</v>
      </c>
      <c r="N227" s="8">
        <f t="shared" si="6"/>
        <v>0</v>
      </c>
      <c r="O227">
        <f t="shared" si="8"/>
        <v>0</v>
      </c>
      <c r="P227" s="4">
        <v>0</v>
      </c>
      <c r="Q227" s="4">
        <v>13019.4</v>
      </c>
      <c r="R227">
        <f t="shared" si="7"/>
        <v>0</v>
      </c>
    </row>
    <row r="228" spans="1:18">
      <c r="A228" s="2">
        <v>45670</v>
      </c>
      <c r="B228" s="4">
        <v>20.440000000000001</v>
      </c>
      <c r="C228" s="4">
        <v>6.15</v>
      </c>
      <c r="D228" s="4">
        <v>71.802083333333329</v>
      </c>
      <c r="E228" s="4">
        <v>385.625</v>
      </c>
      <c r="F228" s="4">
        <v>1.85375</v>
      </c>
      <c r="G228" s="4">
        <v>11.762499999999999</v>
      </c>
      <c r="H228" s="4">
        <v>16.30833333333333</v>
      </c>
      <c r="I228" s="4">
        <v>0</v>
      </c>
      <c r="J228" s="4">
        <v>0</v>
      </c>
      <c r="K228" s="6">
        <v>0</v>
      </c>
      <c r="L228" s="4">
        <v>0</v>
      </c>
      <c r="M228" s="4">
        <v>0</v>
      </c>
      <c r="N228" s="8">
        <f t="shared" si="6"/>
        <v>0</v>
      </c>
      <c r="O228">
        <f t="shared" si="8"/>
        <v>0</v>
      </c>
      <c r="P228" s="4">
        <v>0</v>
      </c>
      <c r="Q228" s="4">
        <v>13019.4</v>
      </c>
      <c r="R228">
        <f t="shared" si="7"/>
        <v>0</v>
      </c>
    </row>
    <row r="229" spans="1:18">
      <c r="A229" s="2">
        <v>45671</v>
      </c>
      <c r="B229" s="4">
        <v>21.25</v>
      </c>
      <c r="C229" s="4">
        <v>10.18</v>
      </c>
      <c r="D229" s="4">
        <v>88.414583333333326</v>
      </c>
      <c r="E229" s="4">
        <v>361.375</v>
      </c>
      <c r="F229" s="4">
        <v>1.602083333333334</v>
      </c>
      <c r="G229" s="4">
        <v>15.74833333333333</v>
      </c>
      <c r="H229" s="4">
        <v>17.923749999999998</v>
      </c>
      <c r="I229" s="4">
        <v>0</v>
      </c>
      <c r="J229" s="4">
        <v>8.7499999999999991E-4</v>
      </c>
      <c r="K229" s="6">
        <v>0.60000000000000009</v>
      </c>
      <c r="L229" s="4">
        <v>0</v>
      </c>
      <c r="M229" s="4">
        <v>0</v>
      </c>
      <c r="N229" s="8">
        <f t="shared" si="6"/>
        <v>0</v>
      </c>
      <c r="O229">
        <f t="shared" si="8"/>
        <v>0</v>
      </c>
      <c r="P229" s="4">
        <v>0.6</v>
      </c>
      <c r="Q229" s="4">
        <v>13019.4</v>
      </c>
      <c r="R229">
        <f t="shared" si="7"/>
        <v>0</v>
      </c>
    </row>
    <row r="230" spans="1:18">
      <c r="A230" s="2">
        <v>45672</v>
      </c>
      <c r="B230" s="4">
        <v>16.48</v>
      </c>
      <c r="C230" s="4">
        <v>11.98</v>
      </c>
      <c r="D230" s="4">
        <v>84.710833333333326</v>
      </c>
      <c r="E230" s="4">
        <v>153.08333333333329</v>
      </c>
      <c r="F230" s="4">
        <v>4.4845833333333331</v>
      </c>
      <c r="G230" s="4">
        <v>8.6274999999999995</v>
      </c>
      <c r="H230" s="4">
        <v>14.665416666666671</v>
      </c>
      <c r="I230" s="4">
        <v>0</v>
      </c>
      <c r="J230" s="4">
        <v>3.4166666666666668E-3</v>
      </c>
      <c r="K230" s="6">
        <v>1.26</v>
      </c>
      <c r="L230" s="4">
        <v>0</v>
      </c>
      <c r="M230" s="4">
        <v>340.3</v>
      </c>
      <c r="N230" s="8">
        <f t="shared" si="6"/>
        <v>202.20000000000073</v>
      </c>
      <c r="O230">
        <f t="shared" si="8"/>
        <v>0.26259740259740355</v>
      </c>
      <c r="P230" s="4">
        <v>0.8</v>
      </c>
      <c r="Q230" s="4">
        <v>13221.6</v>
      </c>
      <c r="R230">
        <f t="shared" si="7"/>
        <v>0.26259740259740355</v>
      </c>
    </row>
    <row r="231" spans="1:18">
      <c r="A231" s="2">
        <v>45673</v>
      </c>
      <c r="B231" s="4">
        <v>15.82</v>
      </c>
      <c r="C231" s="4">
        <v>9.7799999999999994</v>
      </c>
      <c r="D231" s="4">
        <v>79.020416666666662</v>
      </c>
      <c r="E231" s="4">
        <v>164.16666666666671</v>
      </c>
      <c r="F231" s="4">
        <v>4.6487500000000006</v>
      </c>
      <c r="G231" s="4">
        <v>2.4516666666666671</v>
      </c>
      <c r="H231" s="4">
        <v>13.4</v>
      </c>
      <c r="I231" s="4">
        <v>0</v>
      </c>
      <c r="J231" s="4">
        <v>0</v>
      </c>
      <c r="K231" s="6">
        <v>0</v>
      </c>
      <c r="L231" s="4">
        <v>0</v>
      </c>
      <c r="M231" s="4">
        <v>0</v>
      </c>
      <c r="N231" s="8">
        <f t="shared" si="6"/>
        <v>0</v>
      </c>
      <c r="P231" s="4">
        <v>0</v>
      </c>
      <c r="Q231" s="4">
        <v>13221.6</v>
      </c>
      <c r="R231">
        <f t="shared" si="7"/>
        <v>0</v>
      </c>
    </row>
    <row r="232" spans="1:18">
      <c r="A232" s="2">
        <v>45674</v>
      </c>
      <c r="B232" s="4">
        <v>18.32</v>
      </c>
      <c r="C232" s="4">
        <v>10.55</v>
      </c>
      <c r="D232" s="4">
        <v>75.717083333333335</v>
      </c>
      <c r="E232" s="4">
        <v>376.54166666666669</v>
      </c>
      <c r="F232" s="4">
        <v>3.73875</v>
      </c>
      <c r="G232" s="4">
        <v>9.1283333333333339</v>
      </c>
      <c r="H232" s="4">
        <v>15.54083333333333</v>
      </c>
      <c r="I232" s="4">
        <v>0</v>
      </c>
      <c r="J232" s="4">
        <v>0</v>
      </c>
      <c r="K232" s="6">
        <v>0</v>
      </c>
      <c r="L232" s="4">
        <v>0</v>
      </c>
      <c r="M232" s="4">
        <v>0</v>
      </c>
      <c r="N232" s="8">
        <f t="shared" si="6"/>
        <v>0</v>
      </c>
      <c r="P232" s="4">
        <v>0</v>
      </c>
      <c r="Q232" s="4">
        <v>13221.6</v>
      </c>
      <c r="R232">
        <f t="shared" si="7"/>
        <v>0</v>
      </c>
    </row>
    <row r="233" spans="1:18">
      <c r="A233" s="2">
        <v>45675</v>
      </c>
      <c r="B233" s="4">
        <v>19.079999999999998</v>
      </c>
      <c r="C233" s="4">
        <v>10.26</v>
      </c>
      <c r="D233" s="4">
        <v>85.064583333333331</v>
      </c>
      <c r="E233" s="4">
        <v>242.79166666666671</v>
      </c>
      <c r="F233" s="4">
        <v>3.1912500000000001</v>
      </c>
      <c r="G233" s="4">
        <v>16.335000000000001</v>
      </c>
      <c r="H233" s="4">
        <v>16.810833333333331</v>
      </c>
      <c r="I233" s="4">
        <v>0</v>
      </c>
      <c r="J233" s="4">
        <v>0</v>
      </c>
      <c r="K233" s="6">
        <v>0</v>
      </c>
      <c r="L233" s="4">
        <v>0</v>
      </c>
      <c r="M233" s="4">
        <v>0</v>
      </c>
      <c r="N233" s="8">
        <f t="shared" si="6"/>
        <v>0</v>
      </c>
      <c r="P233" s="4">
        <v>0</v>
      </c>
      <c r="Q233" s="4">
        <v>13221.6</v>
      </c>
      <c r="R233">
        <f t="shared" si="7"/>
        <v>0</v>
      </c>
    </row>
    <row r="234" spans="1:18">
      <c r="A234" s="2">
        <v>45676</v>
      </c>
      <c r="B234" s="4">
        <v>19.63</v>
      </c>
      <c r="C234" s="4">
        <v>12.38</v>
      </c>
      <c r="D234" s="4">
        <v>89.155833333333348</v>
      </c>
      <c r="E234" s="4">
        <v>360.45833333333331</v>
      </c>
      <c r="F234" s="4">
        <v>3.5649999999999999</v>
      </c>
      <c r="G234" s="4">
        <v>10.348750000000001</v>
      </c>
      <c r="H234" s="4">
        <v>18.005833333333332</v>
      </c>
      <c r="I234" s="4">
        <v>0</v>
      </c>
      <c r="J234" s="4">
        <v>0</v>
      </c>
      <c r="K234" s="6">
        <v>0.2</v>
      </c>
      <c r="L234" s="4">
        <v>0</v>
      </c>
      <c r="M234" s="4">
        <v>0</v>
      </c>
      <c r="N234" s="8">
        <f t="shared" si="6"/>
        <v>0</v>
      </c>
      <c r="P234" s="4">
        <v>0.2</v>
      </c>
      <c r="Q234" s="4">
        <v>13221.6</v>
      </c>
      <c r="R234">
        <f t="shared" si="7"/>
        <v>0</v>
      </c>
    </row>
    <row r="235" spans="1:18">
      <c r="A235" s="2">
        <v>45677</v>
      </c>
      <c r="B235" s="4">
        <v>21.47</v>
      </c>
      <c r="C235" s="4">
        <v>10.55</v>
      </c>
      <c r="D235" s="4">
        <v>76.304583333333326</v>
      </c>
      <c r="E235" s="4">
        <v>374.70833333333331</v>
      </c>
      <c r="F235" s="4">
        <v>2.9249999999999998</v>
      </c>
      <c r="G235" s="4">
        <v>11.22625</v>
      </c>
      <c r="H235" s="4">
        <v>17.679166666666671</v>
      </c>
      <c r="I235" s="4">
        <v>0</v>
      </c>
      <c r="J235" s="4">
        <v>0</v>
      </c>
      <c r="K235" s="6">
        <v>0</v>
      </c>
      <c r="L235" s="4">
        <v>0</v>
      </c>
      <c r="M235" s="4">
        <v>0</v>
      </c>
      <c r="N235" s="8">
        <f t="shared" si="6"/>
        <v>0</v>
      </c>
      <c r="P235" s="4">
        <v>0</v>
      </c>
      <c r="Q235" s="4">
        <v>13221.6</v>
      </c>
      <c r="R235">
        <f t="shared" si="7"/>
        <v>0</v>
      </c>
    </row>
    <row r="236" spans="1:18">
      <c r="A236" s="2">
        <v>45678</v>
      </c>
      <c r="B236" s="4">
        <v>21.36</v>
      </c>
      <c r="C236" s="4">
        <v>11.58</v>
      </c>
      <c r="D236" s="4">
        <v>82.888750000000002</v>
      </c>
      <c r="E236" s="4">
        <v>382.70833333333331</v>
      </c>
      <c r="F236" s="4">
        <v>2.8595833333333331</v>
      </c>
      <c r="G236" s="4">
        <v>8.0895833333333336</v>
      </c>
      <c r="H236" s="4">
        <v>18.73458333333333</v>
      </c>
      <c r="I236" s="4">
        <v>0</v>
      </c>
      <c r="J236" s="4">
        <v>0</v>
      </c>
      <c r="K236" s="6">
        <v>0</v>
      </c>
      <c r="L236" s="4">
        <v>0</v>
      </c>
      <c r="M236" s="4">
        <v>0</v>
      </c>
      <c r="N236" s="8">
        <f t="shared" si="6"/>
        <v>0</v>
      </c>
      <c r="P236" s="4">
        <v>0</v>
      </c>
      <c r="Q236" s="4">
        <v>13221.6</v>
      </c>
      <c r="R236">
        <f t="shared" si="7"/>
        <v>0</v>
      </c>
    </row>
    <row r="237" spans="1:18">
      <c r="A237" s="2">
        <v>45679</v>
      </c>
      <c r="B237" s="4">
        <v>21.39</v>
      </c>
      <c r="C237" s="4">
        <v>14.95</v>
      </c>
      <c r="D237" s="4">
        <v>91.898333333333326</v>
      </c>
      <c r="E237" s="4">
        <v>277.83333333333331</v>
      </c>
      <c r="F237" s="4">
        <v>2.335</v>
      </c>
      <c r="G237" s="4">
        <v>11.990833333333329</v>
      </c>
      <c r="H237" s="4">
        <v>19.372083333333329</v>
      </c>
      <c r="I237" s="4">
        <v>0</v>
      </c>
      <c r="J237" s="4">
        <v>0</v>
      </c>
      <c r="K237" s="6">
        <v>0</v>
      </c>
      <c r="L237" s="4">
        <v>0</v>
      </c>
      <c r="M237" s="4">
        <v>0</v>
      </c>
      <c r="N237" s="8">
        <f t="shared" si="6"/>
        <v>0</v>
      </c>
      <c r="P237" s="4">
        <v>0</v>
      </c>
      <c r="Q237" s="4">
        <v>13221.6</v>
      </c>
      <c r="R237">
        <f t="shared" si="7"/>
        <v>0</v>
      </c>
    </row>
    <row r="238" spans="1:18">
      <c r="A238" s="2">
        <v>45680</v>
      </c>
      <c r="B238" s="4">
        <v>22.31</v>
      </c>
      <c r="C238" s="4">
        <v>14.62</v>
      </c>
      <c r="D238" s="4">
        <v>89.431666666666672</v>
      </c>
      <c r="E238" s="4">
        <v>335.45833333333331</v>
      </c>
      <c r="F238" s="4">
        <v>3.9162499999999998</v>
      </c>
      <c r="G238" s="4">
        <v>7.0049999999999999</v>
      </c>
      <c r="H238" s="4">
        <v>19.39083333333333</v>
      </c>
      <c r="I238" s="4">
        <v>0</v>
      </c>
      <c r="J238" s="4">
        <v>0</v>
      </c>
      <c r="K238" s="6">
        <v>0</v>
      </c>
      <c r="L238" s="4">
        <v>0</v>
      </c>
      <c r="M238" s="4">
        <v>0</v>
      </c>
      <c r="N238" s="8">
        <f t="shared" si="6"/>
        <v>0</v>
      </c>
      <c r="P238" s="4">
        <v>0</v>
      </c>
      <c r="Q238" s="4">
        <v>13221.6</v>
      </c>
      <c r="R238">
        <f t="shared" si="7"/>
        <v>0</v>
      </c>
    </row>
    <row r="239" spans="1:18">
      <c r="A239" s="2">
        <v>45681</v>
      </c>
      <c r="B239" s="4">
        <v>21.65</v>
      </c>
      <c r="C239" s="4">
        <v>14.76</v>
      </c>
      <c r="D239" s="4">
        <v>90.716250000000002</v>
      </c>
      <c r="E239" s="4">
        <v>376.66666666666669</v>
      </c>
      <c r="F239" s="4">
        <v>4.4691666666666672</v>
      </c>
      <c r="G239" s="4">
        <v>5.7175000000000002</v>
      </c>
      <c r="H239" s="4">
        <v>20.041250000000002</v>
      </c>
      <c r="I239" s="4">
        <v>0</v>
      </c>
      <c r="J239" s="4">
        <v>0</v>
      </c>
      <c r="K239" s="6">
        <v>0</v>
      </c>
      <c r="L239" s="4">
        <v>0</v>
      </c>
      <c r="M239" s="4">
        <v>0</v>
      </c>
      <c r="N239" s="8">
        <f t="shared" si="6"/>
        <v>0</v>
      </c>
      <c r="P239" s="4">
        <v>0</v>
      </c>
      <c r="Q239" s="4">
        <v>13221.6</v>
      </c>
      <c r="R239">
        <f t="shared" si="7"/>
        <v>0</v>
      </c>
    </row>
    <row r="240" spans="1:18">
      <c r="A240" s="2">
        <v>45682</v>
      </c>
      <c r="B240" s="4">
        <v>21.9</v>
      </c>
      <c r="C240" s="4">
        <v>15.27</v>
      </c>
      <c r="D240" s="4">
        <v>89.586666666666659</v>
      </c>
      <c r="E240" s="4">
        <v>336.41666666666669</v>
      </c>
      <c r="F240" s="4">
        <v>4.4108333333333336</v>
      </c>
      <c r="G240" s="4">
        <v>4.3079166666666664</v>
      </c>
      <c r="H240" s="4">
        <v>19.887083333333329</v>
      </c>
      <c r="I240" s="4">
        <v>0</v>
      </c>
      <c r="J240" s="4">
        <v>0</v>
      </c>
      <c r="K240" s="6">
        <v>0</v>
      </c>
      <c r="L240" s="4">
        <v>0</v>
      </c>
      <c r="M240" s="4">
        <v>0</v>
      </c>
      <c r="N240" s="8">
        <f t="shared" si="6"/>
        <v>0</v>
      </c>
      <c r="P240" s="4">
        <v>0</v>
      </c>
      <c r="Q240" s="4">
        <v>13221.6</v>
      </c>
      <c r="R240">
        <f t="shared" si="7"/>
        <v>0</v>
      </c>
    </row>
    <row r="241" spans="1:18">
      <c r="A241" s="2">
        <v>45683</v>
      </c>
      <c r="B241" s="4">
        <v>20.22</v>
      </c>
      <c r="C241" s="4">
        <v>13.92</v>
      </c>
      <c r="D241" s="4">
        <v>86.879583333333343</v>
      </c>
      <c r="E241" s="4">
        <v>362.04166666666669</v>
      </c>
      <c r="F241" s="4">
        <v>6.3999999999999986</v>
      </c>
      <c r="G241" s="4">
        <v>7.13</v>
      </c>
      <c r="H241" s="4">
        <v>18.29</v>
      </c>
      <c r="I241" s="4">
        <v>0</v>
      </c>
      <c r="J241" s="4">
        <v>0</v>
      </c>
      <c r="K241" s="6">
        <v>0.26</v>
      </c>
      <c r="L241" s="4">
        <v>0</v>
      </c>
      <c r="M241" s="4">
        <v>338</v>
      </c>
      <c r="N241" s="8">
        <f t="shared" si="6"/>
        <v>202.39999999999964</v>
      </c>
      <c r="P241" s="4">
        <v>0</v>
      </c>
      <c r="Q241" s="4">
        <v>13424</v>
      </c>
      <c r="R241">
        <f t="shared" si="7"/>
        <v>0.2628571428571424</v>
      </c>
    </row>
    <row r="242" spans="1:18">
      <c r="A242" s="2">
        <v>45684</v>
      </c>
      <c r="B242" s="4">
        <v>14.73</v>
      </c>
      <c r="C242" s="4">
        <v>10.11</v>
      </c>
      <c r="D242" s="4">
        <v>74.487499999999997</v>
      </c>
      <c r="E242" s="4">
        <v>159.08333333333329</v>
      </c>
      <c r="F242" s="4">
        <v>7.8716666666666661</v>
      </c>
      <c r="G242" s="4">
        <v>5.7737499999999997</v>
      </c>
      <c r="H242" s="4">
        <v>13.365</v>
      </c>
      <c r="I242" s="4">
        <v>0</v>
      </c>
      <c r="J242" s="4">
        <v>0</v>
      </c>
      <c r="K242" s="6">
        <v>0</v>
      </c>
      <c r="L242" s="4">
        <v>0</v>
      </c>
      <c r="M242" s="4">
        <v>0</v>
      </c>
      <c r="N242" s="8">
        <f t="shared" si="6"/>
        <v>0</v>
      </c>
      <c r="P242" s="4">
        <v>0</v>
      </c>
      <c r="Q242" s="4">
        <v>13424</v>
      </c>
      <c r="R242">
        <f t="shared" si="7"/>
        <v>0</v>
      </c>
    </row>
    <row r="243" spans="1:18">
      <c r="A243" s="2">
        <v>45685</v>
      </c>
      <c r="B243" s="4">
        <v>15.82</v>
      </c>
      <c r="C243" s="4">
        <v>9.4499999999999993</v>
      </c>
      <c r="D243" s="4">
        <v>64.495833333333337</v>
      </c>
      <c r="E243" s="4">
        <v>305.5</v>
      </c>
      <c r="F243" s="4">
        <v>6.6174999999999997</v>
      </c>
      <c r="G243" s="4">
        <v>2.8729166666666668</v>
      </c>
      <c r="H243" s="4">
        <v>14.442083333333329</v>
      </c>
      <c r="I243" s="4">
        <v>0</v>
      </c>
      <c r="J243" s="4">
        <v>0</v>
      </c>
      <c r="K243" s="6">
        <v>0</v>
      </c>
      <c r="L243" s="4">
        <v>0</v>
      </c>
      <c r="M243" s="4">
        <v>0</v>
      </c>
      <c r="N243" s="8">
        <f t="shared" si="6"/>
        <v>0</v>
      </c>
      <c r="P243" s="4">
        <v>0</v>
      </c>
      <c r="Q243" s="4">
        <v>13424</v>
      </c>
      <c r="R243">
        <f t="shared" si="7"/>
        <v>0</v>
      </c>
    </row>
    <row r="244" spans="1:18">
      <c r="A244" s="2">
        <v>45686</v>
      </c>
      <c r="B244" s="4">
        <v>18.46</v>
      </c>
      <c r="C244" s="4">
        <v>10.77</v>
      </c>
      <c r="D244" s="4">
        <v>73.03</v>
      </c>
      <c r="E244" s="4">
        <v>384.125</v>
      </c>
      <c r="F244" s="4">
        <v>3.3816666666666659</v>
      </c>
      <c r="G244" s="4">
        <v>6.5095833333333344</v>
      </c>
      <c r="H244" s="4">
        <v>15.99958333333333</v>
      </c>
      <c r="I244" s="4">
        <v>0</v>
      </c>
      <c r="J244" s="4">
        <v>0</v>
      </c>
      <c r="K244" s="6">
        <v>0</v>
      </c>
      <c r="L244" s="4">
        <v>0</v>
      </c>
      <c r="M244" s="4">
        <v>0</v>
      </c>
      <c r="N244" s="8">
        <f t="shared" si="6"/>
        <v>0</v>
      </c>
      <c r="P244" s="4">
        <v>0</v>
      </c>
      <c r="Q244" s="4">
        <v>13424</v>
      </c>
      <c r="R244">
        <f t="shared" si="7"/>
        <v>0</v>
      </c>
    </row>
    <row r="245" spans="1:18">
      <c r="A245" s="2">
        <v>45687</v>
      </c>
      <c r="B245" s="4">
        <v>20.59</v>
      </c>
      <c r="C245" s="4">
        <v>9.3800000000000008</v>
      </c>
      <c r="D245" s="4">
        <v>85.847916666666663</v>
      </c>
      <c r="E245" s="4">
        <v>404.625</v>
      </c>
      <c r="F245" s="4">
        <v>2.1862499999999998</v>
      </c>
      <c r="G245" s="4">
        <v>9.2162500000000005</v>
      </c>
      <c r="H245" s="4">
        <v>17.82416666666667</v>
      </c>
      <c r="I245" s="4">
        <v>0</v>
      </c>
      <c r="J245" s="4">
        <v>0</v>
      </c>
      <c r="K245" s="6">
        <v>0</v>
      </c>
      <c r="L245" s="4">
        <v>0</v>
      </c>
      <c r="M245" s="4">
        <v>0</v>
      </c>
      <c r="N245" s="8">
        <f t="shared" si="6"/>
        <v>0</v>
      </c>
      <c r="P245" s="4">
        <v>0</v>
      </c>
      <c r="Q245" s="4">
        <v>13424</v>
      </c>
      <c r="R245">
        <f t="shared" si="7"/>
        <v>0</v>
      </c>
    </row>
    <row r="246" spans="1:18">
      <c r="A246" s="2">
        <v>45688</v>
      </c>
      <c r="B246" s="4">
        <v>19.63</v>
      </c>
      <c r="C246" s="4">
        <v>13.96</v>
      </c>
      <c r="D246" s="4">
        <v>94.276250000000005</v>
      </c>
      <c r="E246" s="4">
        <v>261.08333333333331</v>
      </c>
      <c r="F246" s="4">
        <v>2.21875</v>
      </c>
      <c r="G246" s="4">
        <v>12.077083333333331</v>
      </c>
      <c r="H246" s="4">
        <v>18.19916666666667</v>
      </c>
      <c r="I246" s="4">
        <v>0</v>
      </c>
      <c r="J246" s="4">
        <v>1.8333333333333331E-3</v>
      </c>
      <c r="K246" s="6">
        <v>1.6</v>
      </c>
      <c r="L246" s="4">
        <v>0</v>
      </c>
      <c r="M246" s="4">
        <v>0</v>
      </c>
      <c r="N246" s="8">
        <f t="shared" si="6"/>
        <v>0</v>
      </c>
      <c r="P246" s="4">
        <v>1.6</v>
      </c>
      <c r="Q246" s="4">
        <v>13424</v>
      </c>
      <c r="R246">
        <f t="shared" si="7"/>
        <v>0</v>
      </c>
    </row>
    <row r="247" spans="1:18">
      <c r="A247" s="2">
        <v>45689</v>
      </c>
      <c r="B247" s="4">
        <v>23.33</v>
      </c>
      <c r="C247" s="4">
        <v>16.010000000000002</v>
      </c>
      <c r="D247" s="4">
        <v>92.673749999999998</v>
      </c>
      <c r="E247" s="4">
        <v>374.83333333333331</v>
      </c>
      <c r="F247" s="4">
        <v>3.5449999999999999</v>
      </c>
      <c r="G247" s="4">
        <v>9.2937500000000011</v>
      </c>
      <c r="H247" s="4">
        <v>20.790416666666669</v>
      </c>
      <c r="I247" s="4">
        <v>0</v>
      </c>
      <c r="J247" s="4">
        <v>3.7916666666666671E-3</v>
      </c>
      <c r="K247" s="6">
        <v>3</v>
      </c>
      <c r="L247" s="4">
        <v>0</v>
      </c>
      <c r="M247" s="4">
        <v>0</v>
      </c>
      <c r="N247" s="8">
        <f t="shared" si="6"/>
        <v>0</v>
      </c>
      <c r="P247" s="4">
        <v>2.4</v>
      </c>
      <c r="Q247" s="4">
        <v>13424</v>
      </c>
      <c r="R247">
        <f t="shared" si="7"/>
        <v>0</v>
      </c>
    </row>
    <row r="248" spans="1:18">
      <c r="A248" s="2">
        <v>45690</v>
      </c>
      <c r="B248" s="4">
        <v>19.78</v>
      </c>
      <c r="C248" s="4">
        <v>14.95</v>
      </c>
      <c r="D248" s="4">
        <v>93.397916666666674</v>
      </c>
      <c r="E248" s="4">
        <v>335.08333333333331</v>
      </c>
      <c r="F248" s="4">
        <v>4.9558333333333344</v>
      </c>
      <c r="G248" s="4">
        <v>6.0975000000000001</v>
      </c>
      <c r="H248" s="4">
        <v>18.330416666666672</v>
      </c>
      <c r="I248" s="4">
        <v>0</v>
      </c>
      <c r="J248" s="4">
        <v>2.7916666666666671E-3</v>
      </c>
      <c r="K248" s="6">
        <v>2.6</v>
      </c>
      <c r="L248" s="4">
        <v>0</v>
      </c>
      <c r="M248" s="4">
        <v>0</v>
      </c>
      <c r="N248" s="8">
        <f t="shared" si="6"/>
        <v>0</v>
      </c>
      <c r="P248" s="4">
        <v>2.6</v>
      </c>
      <c r="Q248" s="4">
        <v>13424</v>
      </c>
      <c r="R248">
        <f t="shared" si="7"/>
        <v>0</v>
      </c>
    </row>
    <row r="249" spans="1:18">
      <c r="A249" s="2">
        <v>45691</v>
      </c>
      <c r="B249" s="4">
        <v>16.37</v>
      </c>
      <c r="C249" s="4">
        <v>11.54</v>
      </c>
      <c r="D249" s="4">
        <v>89.144999999999996</v>
      </c>
      <c r="E249" s="4">
        <v>196.75</v>
      </c>
      <c r="F249" s="4">
        <v>6.4970833333333333</v>
      </c>
      <c r="G249" s="4">
        <v>4.6320833333333331</v>
      </c>
      <c r="H249" s="4">
        <v>15.422916666666669</v>
      </c>
      <c r="I249" s="4">
        <v>0</v>
      </c>
      <c r="J249" s="4">
        <v>0</v>
      </c>
      <c r="K249" s="6">
        <v>0.2</v>
      </c>
      <c r="L249" s="4">
        <v>0</v>
      </c>
      <c r="M249" s="4">
        <v>0</v>
      </c>
      <c r="N249" s="8">
        <f t="shared" si="6"/>
        <v>0</v>
      </c>
      <c r="P249" s="4">
        <v>0.2</v>
      </c>
      <c r="Q249" s="4">
        <v>13424</v>
      </c>
      <c r="R249">
        <f t="shared" si="7"/>
        <v>0</v>
      </c>
    </row>
    <row r="250" spans="1:18">
      <c r="A250" s="2">
        <v>45692</v>
      </c>
      <c r="B250" s="4">
        <v>15.49</v>
      </c>
      <c r="C250" s="4">
        <v>11.17</v>
      </c>
      <c r="D250" s="4">
        <v>74.084583333333327</v>
      </c>
      <c r="E250" s="4">
        <v>223.58333333333329</v>
      </c>
      <c r="F250" s="4">
        <v>7.125</v>
      </c>
      <c r="G250" s="4">
        <v>10.110416666666669</v>
      </c>
      <c r="H250" s="4">
        <v>14.3825</v>
      </c>
      <c r="I250" s="4">
        <v>0</v>
      </c>
      <c r="J250" s="4">
        <v>0</v>
      </c>
      <c r="K250" s="6">
        <v>0</v>
      </c>
      <c r="L250" s="4">
        <v>0</v>
      </c>
      <c r="M250" s="4">
        <v>0</v>
      </c>
      <c r="N250" s="8">
        <f t="shared" si="6"/>
        <v>3.2000000000007276</v>
      </c>
      <c r="P250" s="4">
        <v>0</v>
      </c>
      <c r="Q250" s="4">
        <v>13427.2</v>
      </c>
      <c r="R250">
        <f t="shared" si="7"/>
        <v>4.1558441558451004E-3</v>
      </c>
    </row>
    <row r="251" spans="1:18">
      <c r="A251" s="2">
        <v>45693</v>
      </c>
      <c r="B251" s="4">
        <v>17.95</v>
      </c>
      <c r="C251" s="4">
        <v>9.6</v>
      </c>
      <c r="D251" s="4">
        <v>73.592083333333335</v>
      </c>
      <c r="E251" s="4">
        <v>273.625</v>
      </c>
      <c r="F251" s="4">
        <v>2.5337499999999999</v>
      </c>
      <c r="G251" s="4">
        <v>15.067916666666671</v>
      </c>
      <c r="H251" s="4">
        <v>16.71458333333333</v>
      </c>
      <c r="I251" s="4">
        <v>0</v>
      </c>
      <c r="J251" s="4">
        <v>0</v>
      </c>
      <c r="K251" s="6">
        <v>0</v>
      </c>
      <c r="L251" s="4">
        <v>0</v>
      </c>
      <c r="M251" s="4">
        <v>0</v>
      </c>
      <c r="N251" s="8">
        <f t="shared" si="6"/>
        <v>0</v>
      </c>
      <c r="P251" s="4">
        <v>0</v>
      </c>
      <c r="Q251" s="4">
        <v>13427.2</v>
      </c>
      <c r="R251">
        <f t="shared" si="7"/>
        <v>0</v>
      </c>
    </row>
    <row r="252" spans="1:18">
      <c r="A252" s="2">
        <v>45694</v>
      </c>
      <c r="B252" s="4">
        <v>22.31</v>
      </c>
      <c r="C252" s="4">
        <v>14.21</v>
      </c>
      <c r="D252" s="4">
        <v>84.891249999999999</v>
      </c>
      <c r="E252" s="4">
        <v>288.125</v>
      </c>
      <c r="F252" s="4">
        <v>2.9545833333333329</v>
      </c>
      <c r="G252" s="4">
        <v>14.25958333333333</v>
      </c>
      <c r="H252" s="4">
        <v>19.159166666666671</v>
      </c>
      <c r="I252" s="4">
        <v>0</v>
      </c>
      <c r="J252" s="4">
        <v>0</v>
      </c>
      <c r="K252" s="6">
        <v>0.26</v>
      </c>
      <c r="L252" s="4">
        <v>0</v>
      </c>
      <c r="M252" s="4">
        <v>331.8</v>
      </c>
      <c r="N252" s="8">
        <f t="shared" si="6"/>
        <v>196</v>
      </c>
      <c r="P252" s="4">
        <v>0</v>
      </c>
      <c r="Q252" s="4">
        <v>13623.2</v>
      </c>
      <c r="R252">
        <f t="shared" si="7"/>
        <v>0.25454545454545452</v>
      </c>
    </row>
    <row r="253" spans="1:18">
      <c r="A253" s="2">
        <v>45695</v>
      </c>
      <c r="B253" s="4">
        <v>17</v>
      </c>
      <c r="C253" s="4">
        <v>11.72</v>
      </c>
      <c r="D253" s="4">
        <v>85.805416666666659</v>
      </c>
      <c r="E253" s="4">
        <v>400.58333333333331</v>
      </c>
      <c r="F253" s="4">
        <v>7.873333333333334</v>
      </c>
      <c r="G253" s="4">
        <v>5.8962499999999993</v>
      </c>
      <c r="H253" s="4">
        <v>16.664999999999999</v>
      </c>
      <c r="I253" s="4">
        <v>0</v>
      </c>
      <c r="J253" s="4">
        <v>0</v>
      </c>
      <c r="K253" s="6">
        <v>0</v>
      </c>
      <c r="L253" s="4">
        <v>0</v>
      </c>
      <c r="M253" s="4">
        <v>0</v>
      </c>
      <c r="N253" s="8">
        <f t="shared" si="6"/>
        <v>0</v>
      </c>
      <c r="P253" s="4">
        <v>0</v>
      </c>
      <c r="Q253" s="4">
        <v>13623.2</v>
      </c>
      <c r="R253">
        <f t="shared" si="7"/>
        <v>0</v>
      </c>
    </row>
    <row r="254" spans="1:18">
      <c r="A254" s="2">
        <v>45696</v>
      </c>
      <c r="B254" s="4">
        <v>13.3</v>
      </c>
      <c r="C254" s="4">
        <v>9.49</v>
      </c>
      <c r="D254" s="4">
        <v>75.510000000000005</v>
      </c>
      <c r="E254" s="4">
        <v>167.25</v>
      </c>
      <c r="F254" s="4">
        <v>7.2229166666666664</v>
      </c>
      <c r="G254" s="4">
        <v>4.5908333333333333</v>
      </c>
      <c r="H254" s="4">
        <v>12.56583333333333</v>
      </c>
      <c r="I254" s="4">
        <v>0</v>
      </c>
      <c r="J254" s="4">
        <v>0</v>
      </c>
      <c r="K254" s="6">
        <v>0</v>
      </c>
      <c r="L254" s="4">
        <v>0</v>
      </c>
      <c r="M254" s="4">
        <v>0</v>
      </c>
      <c r="N254" s="8">
        <f t="shared" si="6"/>
        <v>0</v>
      </c>
      <c r="P254" s="4">
        <v>0</v>
      </c>
      <c r="Q254" s="4">
        <v>13623.2</v>
      </c>
      <c r="R254">
        <f t="shared" si="7"/>
        <v>0</v>
      </c>
    </row>
    <row r="255" spans="1:18">
      <c r="A255" s="2">
        <v>45697</v>
      </c>
      <c r="B255" s="4">
        <v>15.46</v>
      </c>
      <c r="C255" s="4">
        <v>10</v>
      </c>
      <c r="D255" s="4">
        <v>77.984999999999999</v>
      </c>
      <c r="E255" s="4">
        <v>268.25</v>
      </c>
      <c r="F255" s="4">
        <v>4.9708333333333332</v>
      </c>
      <c r="G255" s="4">
        <v>3.3587500000000001</v>
      </c>
      <c r="H255" s="4">
        <v>14.690416666666669</v>
      </c>
      <c r="I255" s="4">
        <v>0</v>
      </c>
      <c r="J255" s="4">
        <v>0</v>
      </c>
      <c r="K255" s="6">
        <v>0</v>
      </c>
      <c r="L255" s="4">
        <v>0</v>
      </c>
      <c r="M255" s="4">
        <v>0</v>
      </c>
      <c r="N255" s="8">
        <f t="shared" si="6"/>
        <v>0</v>
      </c>
      <c r="P255" s="4">
        <v>0</v>
      </c>
      <c r="Q255" s="4">
        <v>13623.2</v>
      </c>
      <c r="R255">
        <f t="shared" si="7"/>
        <v>0</v>
      </c>
    </row>
    <row r="256" spans="1:18">
      <c r="A256" s="2">
        <v>45698</v>
      </c>
      <c r="B256" s="4">
        <v>20.04</v>
      </c>
      <c r="C256" s="4">
        <v>9.23</v>
      </c>
      <c r="D256" s="4">
        <v>84.935833333333335</v>
      </c>
      <c r="E256" s="4">
        <v>450.125</v>
      </c>
      <c r="F256" s="4">
        <v>3.2162500000000001</v>
      </c>
      <c r="G256" s="4">
        <v>17.60166666666667</v>
      </c>
      <c r="H256" s="4">
        <v>16.904583333333331</v>
      </c>
      <c r="I256" s="4">
        <v>0</v>
      </c>
      <c r="J256" s="4">
        <v>0</v>
      </c>
      <c r="K256" s="6">
        <v>0</v>
      </c>
      <c r="L256" s="4">
        <v>0</v>
      </c>
      <c r="M256" s="4">
        <v>0</v>
      </c>
      <c r="N256" s="8">
        <f t="shared" si="6"/>
        <v>0</v>
      </c>
      <c r="P256" s="4">
        <v>0</v>
      </c>
      <c r="Q256" s="4">
        <v>13623.2</v>
      </c>
      <c r="R256">
        <f t="shared" si="7"/>
        <v>0</v>
      </c>
    </row>
    <row r="257" spans="1:19">
      <c r="A257" s="2">
        <v>45699</v>
      </c>
      <c r="B257" s="4">
        <v>19.52</v>
      </c>
      <c r="C257" s="4">
        <v>11.5</v>
      </c>
      <c r="D257" s="4">
        <v>93.077916666666667</v>
      </c>
      <c r="E257" s="4">
        <v>477.625</v>
      </c>
      <c r="F257" s="4">
        <v>3.0854166666666671</v>
      </c>
      <c r="G257" s="4">
        <v>9.1008333333333322</v>
      </c>
      <c r="H257" s="4">
        <v>18.15958333333333</v>
      </c>
      <c r="I257" s="4">
        <v>0</v>
      </c>
      <c r="J257" s="4">
        <v>0</v>
      </c>
      <c r="K257" s="6">
        <v>0</v>
      </c>
      <c r="L257" s="4">
        <v>0</v>
      </c>
      <c r="M257" s="4">
        <v>0</v>
      </c>
      <c r="N257" s="8">
        <f t="shared" si="6"/>
        <v>0</v>
      </c>
      <c r="P257" s="4">
        <v>0</v>
      </c>
      <c r="Q257" s="4">
        <v>13623.2</v>
      </c>
      <c r="R257">
        <f t="shared" si="7"/>
        <v>0</v>
      </c>
    </row>
    <row r="258" spans="1:19">
      <c r="A258" s="2">
        <v>45700</v>
      </c>
      <c r="B258" s="4">
        <v>17.66</v>
      </c>
      <c r="C258" s="4">
        <v>15.02</v>
      </c>
      <c r="D258" s="4">
        <v>98.642499999999998</v>
      </c>
      <c r="E258" s="4">
        <v>109.4166666666667</v>
      </c>
      <c r="F258" s="4">
        <v>3.003333333333333</v>
      </c>
      <c r="G258" s="4">
        <v>4.6745833333333344</v>
      </c>
      <c r="H258" s="4">
        <v>17.015000000000001</v>
      </c>
      <c r="I258" s="4">
        <v>0</v>
      </c>
      <c r="J258" s="4">
        <v>1.0041666666666669E-2</v>
      </c>
      <c r="K258" s="6">
        <v>20.2</v>
      </c>
      <c r="L258" s="4">
        <v>0</v>
      </c>
      <c r="M258" s="4">
        <v>0</v>
      </c>
      <c r="N258" s="8">
        <f t="shared" ref="N258:N321" si="9">Q258-Q257</f>
        <v>0</v>
      </c>
      <c r="P258" s="4">
        <v>20.2</v>
      </c>
      <c r="Q258" s="4">
        <v>13623.2</v>
      </c>
      <c r="R258">
        <f t="shared" si="7"/>
        <v>0</v>
      </c>
    </row>
    <row r="259" spans="1:19">
      <c r="A259" s="2">
        <v>45701</v>
      </c>
      <c r="B259" s="4">
        <v>16.670000000000002</v>
      </c>
      <c r="C259" s="4">
        <v>14.1</v>
      </c>
      <c r="D259" s="4">
        <v>95.419583333333335</v>
      </c>
      <c r="E259" s="4">
        <v>74.125</v>
      </c>
      <c r="F259" s="4">
        <v>4.4279166666666674</v>
      </c>
      <c r="G259" s="4">
        <v>8.3020833333333339</v>
      </c>
      <c r="H259" s="4">
        <v>15.62125</v>
      </c>
      <c r="I259" s="4">
        <v>0.29083333333333328</v>
      </c>
      <c r="J259" s="4">
        <v>6.2499999999999986E-3</v>
      </c>
      <c r="K259" s="6">
        <v>37.799999999999997</v>
      </c>
      <c r="L259" s="4">
        <v>0</v>
      </c>
      <c r="M259" s="4">
        <v>0</v>
      </c>
      <c r="N259" s="8">
        <f t="shared" si="9"/>
        <v>0</v>
      </c>
      <c r="P259" s="4">
        <v>35.4</v>
      </c>
      <c r="Q259" s="4">
        <v>13623.2</v>
      </c>
      <c r="R259">
        <f t="shared" ref="R259:R322" si="10">N259/770</f>
        <v>0</v>
      </c>
    </row>
    <row r="260" spans="1:19">
      <c r="A260" s="2">
        <v>45702</v>
      </c>
      <c r="B260" s="4">
        <v>18.21</v>
      </c>
      <c r="C260" s="4">
        <v>14.65</v>
      </c>
      <c r="D260" s="4">
        <v>93.541249999999991</v>
      </c>
      <c r="E260" s="4">
        <v>240.25</v>
      </c>
      <c r="F260" s="4">
        <v>3.945416666666667</v>
      </c>
      <c r="G260" s="4">
        <v>8.1266666666666669</v>
      </c>
      <c r="H260" s="4">
        <v>17.4925</v>
      </c>
      <c r="I260" s="4">
        <v>0</v>
      </c>
      <c r="J260" s="4">
        <v>0</v>
      </c>
      <c r="K260" s="6">
        <v>0</v>
      </c>
      <c r="L260" s="4">
        <v>0</v>
      </c>
      <c r="M260" s="4">
        <v>0</v>
      </c>
      <c r="N260" s="8">
        <f t="shared" si="9"/>
        <v>0</v>
      </c>
      <c r="P260" s="4">
        <v>0</v>
      </c>
      <c r="Q260" s="4">
        <v>13623.2</v>
      </c>
      <c r="R260">
        <f t="shared" si="10"/>
        <v>0</v>
      </c>
    </row>
    <row r="261" spans="1:19">
      <c r="A261" s="2">
        <v>45703</v>
      </c>
      <c r="B261" s="4">
        <v>21.28</v>
      </c>
      <c r="C261" s="4">
        <v>14.36</v>
      </c>
      <c r="D261" s="4">
        <v>96.521250000000009</v>
      </c>
      <c r="E261" s="4">
        <v>367.04166666666669</v>
      </c>
      <c r="F261" s="4">
        <v>3.5854166666666671</v>
      </c>
      <c r="G261" s="4">
        <v>10.247083333333331</v>
      </c>
      <c r="H261" s="4">
        <v>19.466666666666669</v>
      </c>
      <c r="I261" s="4">
        <v>0</v>
      </c>
      <c r="J261" s="4">
        <v>0</v>
      </c>
      <c r="K261" s="6">
        <v>0.2</v>
      </c>
      <c r="L261" s="4">
        <v>0</v>
      </c>
      <c r="M261" s="4">
        <v>0</v>
      </c>
      <c r="N261" s="8">
        <f t="shared" si="9"/>
        <v>0</v>
      </c>
      <c r="P261" s="4">
        <v>0.2</v>
      </c>
      <c r="Q261" s="4">
        <v>13623.2</v>
      </c>
      <c r="R261">
        <f t="shared" si="10"/>
        <v>0</v>
      </c>
    </row>
    <row r="262" spans="1:19">
      <c r="A262" s="2">
        <v>45704</v>
      </c>
      <c r="B262" s="4">
        <v>20.73</v>
      </c>
      <c r="C262" s="4">
        <v>14.36</v>
      </c>
      <c r="D262" s="4">
        <v>94.479166666666671</v>
      </c>
      <c r="E262" s="4">
        <v>353.54166666666669</v>
      </c>
      <c r="F262" s="4">
        <v>3.9283333333333328</v>
      </c>
      <c r="G262" s="4">
        <v>11.563750000000001</v>
      </c>
      <c r="H262" s="4">
        <v>19.104583333333331</v>
      </c>
      <c r="I262" s="4">
        <v>0</v>
      </c>
      <c r="J262" s="4">
        <v>0</v>
      </c>
      <c r="K262" s="6">
        <v>2.2000000000000002</v>
      </c>
      <c r="L262" s="4">
        <v>0</v>
      </c>
      <c r="M262" s="4">
        <v>0</v>
      </c>
      <c r="N262" s="8">
        <f t="shared" si="9"/>
        <v>0</v>
      </c>
      <c r="P262" s="4">
        <v>2.2000000000000002</v>
      </c>
      <c r="Q262" s="4">
        <v>13623.2</v>
      </c>
      <c r="R262">
        <f t="shared" si="10"/>
        <v>0</v>
      </c>
    </row>
    <row r="263" spans="1:19">
      <c r="A263" s="2">
        <v>45705</v>
      </c>
      <c r="B263" s="4">
        <v>20.92</v>
      </c>
      <c r="C263" s="4">
        <v>13.55</v>
      </c>
      <c r="D263" s="4">
        <v>82.735416666666666</v>
      </c>
      <c r="E263" s="4">
        <v>372.70833333333331</v>
      </c>
      <c r="F263" s="4">
        <v>3.61375</v>
      </c>
      <c r="G263" s="4">
        <v>9.6549999999999994</v>
      </c>
      <c r="H263" s="4">
        <v>18.986249999999998</v>
      </c>
      <c r="I263" s="4">
        <v>0</v>
      </c>
      <c r="J263" s="4">
        <v>0</v>
      </c>
      <c r="K263" s="6">
        <v>8.2000000000000011</v>
      </c>
      <c r="L263" s="4">
        <v>0</v>
      </c>
      <c r="M263" s="4">
        <v>0</v>
      </c>
      <c r="N263" s="8">
        <f t="shared" si="9"/>
        <v>0</v>
      </c>
      <c r="P263" s="4">
        <v>8.1999999999999993</v>
      </c>
      <c r="Q263" s="4">
        <v>13623.2</v>
      </c>
      <c r="R263">
        <f t="shared" si="10"/>
        <v>0</v>
      </c>
    </row>
    <row r="264" spans="1:19">
      <c r="A264" s="2">
        <v>45706</v>
      </c>
      <c r="B264" s="4">
        <v>18.86</v>
      </c>
      <c r="C264" s="4">
        <v>14.36</v>
      </c>
      <c r="D264" s="4">
        <v>89.202916666666667</v>
      </c>
      <c r="E264" s="4">
        <v>420.125</v>
      </c>
      <c r="F264" s="4">
        <v>5.3691666666666684</v>
      </c>
      <c r="G264" s="4">
        <v>2.6879166666666672</v>
      </c>
      <c r="H264" s="4">
        <v>18.32791666666667</v>
      </c>
      <c r="I264" s="4">
        <v>0</v>
      </c>
      <c r="J264" s="4">
        <v>0</v>
      </c>
      <c r="K264" s="6">
        <v>7</v>
      </c>
      <c r="L264" s="4">
        <v>0</v>
      </c>
      <c r="M264" s="4">
        <v>0</v>
      </c>
      <c r="N264" s="8">
        <f t="shared" si="9"/>
        <v>0</v>
      </c>
      <c r="O264" s="12">
        <v>0</v>
      </c>
      <c r="P264" s="4">
        <v>7</v>
      </c>
      <c r="Q264" s="4">
        <v>13623.2</v>
      </c>
      <c r="R264" s="12">
        <f t="shared" si="10"/>
        <v>0</v>
      </c>
    </row>
    <row r="265" spans="1:19">
      <c r="A265" s="2">
        <v>45707</v>
      </c>
      <c r="B265" s="4">
        <v>21.9</v>
      </c>
      <c r="C265" s="4">
        <v>12.78</v>
      </c>
      <c r="D265" s="4">
        <v>89.287916666666661</v>
      </c>
      <c r="E265" s="4">
        <v>357.91666666666669</v>
      </c>
      <c r="F265" s="4">
        <v>3.1133333333333328</v>
      </c>
      <c r="G265" s="4">
        <v>15.53083333333333</v>
      </c>
      <c r="H265" s="4">
        <v>19.110416666666669</v>
      </c>
      <c r="I265" s="4">
        <v>0</v>
      </c>
      <c r="J265" s="4">
        <v>0</v>
      </c>
      <c r="K265" s="6">
        <v>0.4</v>
      </c>
      <c r="L265" s="4">
        <v>0</v>
      </c>
      <c r="M265" s="4">
        <v>0</v>
      </c>
      <c r="N265" s="8">
        <f t="shared" si="9"/>
        <v>0</v>
      </c>
      <c r="O265">
        <v>0</v>
      </c>
      <c r="P265" s="4">
        <v>0.4</v>
      </c>
      <c r="Q265" s="4">
        <v>13623.2</v>
      </c>
      <c r="R265">
        <f t="shared" si="10"/>
        <v>0</v>
      </c>
    </row>
    <row r="266" spans="1:19">
      <c r="A266" s="2">
        <v>45708</v>
      </c>
      <c r="B266" s="4">
        <v>18.13</v>
      </c>
      <c r="C266" s="4">
        <v>15.05</v>
      </c>
      <c r="D266" s="4">
        <v>95.144999999999996</v>
      </c>
      <c r="E266" s="4">
        <v>273</v>
      </c>
      <c r="F266" s="4">
        <v>4.6416666666666666</v>
      </c>
      <c r="G266" s="4">
        <v>12.366666666666671</v>
      </c>
      <c r="H266" s="4">
        <v>18.53125</v>
      </c>
      <c r="I266" s="4">
        <v>0</v>
      </c>
      <c r="J266" s="4">
        <v>0</v>
      </c>
      <c r="K266" s="6">
        <v>5.4</v>
      </c>
      <c r="L266" s="4">
        <v>0</v>
      </c>
      <c r="M266" s="4">
        <v>0</v>
      </c>
      <c r="N266" s="8">
        <f t="shared" si="9"/>
        <v>0</v>
      </c>
      <c r="O266">
        <v>0</v>
      </c>
      <c r="P266" s="4">
        <v>5.4</v>
      </c>
      <c r="Q266" s="4">
        <v>13623.2</v>
      </c>
      <c r="R266">
        <f t="shared" si="10"/>
        <v>0</v>
      </c>
    </row>
    <row r="267" spans="1:19">
      <c r="A267" s="2">
        <v>45709</v>
      </c>
      <c r="B267" s="4">
        <v>17.8</v>
      </c>
      <c r="C267" s="4">
        <v>14.25</v>
      </c>
      <c r="D267" s="4">
        <v>91.482083333333335</v>
      </c>
      <c r="E267" s="4">
        <v>316.08333333333331</v>
      </c>
      <c r="F267" s="4">
        <v>6.9833333333333334</v>
      </c>
      <c r="G267" s="4">
        <v>7.746666666666667</v>
      </c>
      <c r="H267" s="4">
        <v>17.53125</v>
      </c>
      <c r="I267" s="4">
        <v>0</v>
      </c>
      <c r="J267" s="4">
        <v>0</v>
      </c>
      <c r="K267" s="6">
        <v>0.2</v>
      </c>
      <c r="L267" s="4">
        <v>0</v>
      </c>
      <c r="M267" s="4">
        <v>0</v>
      </c>
      <c r="N267" s="8">
        <f t="shared" si="9"/>
        <v>0</v>
      </c>
      <c r="O267">
        <v>0</v>
      </c>
      <c r="P267" s="4">
        <v>0.2</v>
      </c>
      <c r="Q267" s="4">
        <v>13623.2</v>
      </c>
      <c r="R267">
        <f t="shared" si="10"/>
        <v>0</v>
      </c>
    </row>
    <row r="268" spans="1:19">
      <c r="A268" s="2">
        <v>45710</v>
      </c>
      <c r="B268" s="4">
        <v>20.18</v>
      </c>
      <c r="C268" s="4">
        <v>13.81</v>
      </c>
      <c r="D268" s="4">
        <v>88.479166666666671</v>
      </c>
      <c r="E268" s="4">
        <v>447.5</v>
      </c>
      <c r="F268" s="4">
        <v>5.5279166666666661</v>
      </c>
      <c r="G268" s="4">
        <v>7.3795833333333336</v>
      </c>
      <c r="H268" s="4">
        <v>19.024583333333329</v>
      </c>
      <c r="I268" s="4">
        <v>0</v>
      </c>
      <c r="J268" s="4">
        <v>0</v>
      </c>
      <c r="K268" s="6">
        <v>4.8</v>
      </c>
      <c r="L268" s="4">
        <v>0</v>
      </c>
      <c r="M268" s="4">
        <v>0</v>
      </c>
      <c r="N268" s="8">
        <f t="shared" si="9"/>
        <v>0</v>
      </c>
      <c r="O268">
        <v>0</v>
      </c>
      <c r="P268" s="4">
        <v>4.8</v>
      </c>
      <c r="Q268" s="4">
        <v>13623.2</v>
      </c>
      <c r="R268">
        <f t="shared" si="10"/>
        <v>0</v>
      </c>
    </row>
    <row r="269" spans="1:19">
      <c r="A269" s="2">
        <v>45711</v>
      </c>
      <c r="B269" s="4">
        <v>17.399999999999999</v>
      </c>
      <c r="C269" s="4">
        <v>13</v>
      </c>
      <c r="D269" s="4">
        <v>303.37833333333327</v>
      </c>
      <c r="E269" s="4">
        <v>217.29166666666671</v>
      </c>
      <c r="F269" s="4">
        <v>7.6412499999999994</v>
      </c>
      <c r="G269" s="4">
        <v>4.4133333333333331</v>
      </c>
      <c r="H269" s="4">
        <v>16.732916666666661</v>
      </c>
      <c r="I269" s="4">
        <v>0</v>
      </c>
      <c r="J269" s="4">
        <v>0</v>
      </c>
      <c r="K269" s="6">
        <v>0.2</v>
      </c>
      <c r="L269" s="4">
        <v>0</v>
      </c>
      <c r="M269" s="4">
        <v>0</v>
      </c>
      <c r="N269" s="8">
        <f t="shared" si="9"/>
        <v>0</v>
      </c>
      <c r="O269">
        <v>0</v>
      </c>
      <c r="P269" s="4">
        <v>0.2</v>
      </c>
      <c r="Q269" s="4">
        <v>13623.2</v>
      </c>
      <c r="R269">
        <f t="shared" si="10"/>
        <v>0</v>
      </c>
      <c r="S269" s="8"/>
    </row>
    <row r="270" spans="1:19">
      <c r="A270" s="2">
        <v>45712</v>
      </c>
      <c r="B270" s="4">
        <v>18.2</v>
      </c>
      <c r="C270" s="4">
        <v>13.1</v>
      </c>
      <c r="D270" s="4">
        <v>655.11874999999998</v>
      </c>
      <c r="E270" s="4">
        <v>429.91666666666669</v>
      </c>
      <c r="F270" s="4">
        <v>7.4483333333333333</v>
      </c>
      <c r="G270" s="4">
        <v>9.8212500000000009</v>
      </c>
      <c r="H270" s="4">
        <v>17.107916666666672</v>
      </c>
      <c r="I270" s="4">
        <v>0</v>
      </c>
      <c r="J270" s="4">
        <v>0</v>
      </c>
      <c r="K270" s="6">
        <v>1.4</v>
      </c>
      <c r="L270" s="4">
        <v>0</v>
      </c>
      <c r="M270" s="4">
        <v>0</v>
      </c>
      <c r="N270" s="8">
        <f t="shared" si="9"/>
        <v>0</v>
      </c>
      <c r="O270">
        <v>0</v>
      </c>
      <c r="P270" s="4">
        <v>1.4</v>
      </c>
      <c r="Q270" s="4">
        <v>13623.2</v>
      </c>
      <c r="R270">
        <f t="shared" si="10"/>
        <v>0</v>
      </c>
    </row>
    <row r="271" spans="1:19">
      <c r="A271" s="2">
        <v>45713</v>
      </c>
      <c r="B271" s="4">
        <v>20.6</v>
      </c>
      <c r="C271" s="4">
        <v>12.6</v>
      </c>
      <c r="D271" s="4">
        <v>370.24208333333331</v>
      </c>
      <c r="E271" s="4">
        <v>425.91666666666669</v>
      </c>
      <c r="F271" s="4">
        <v>2.3570833333333332</v>
      </c>
      <c r="G271" s="4">
        <v>12.22041666666667</v>
      </c>
      <c r="H271" s="4">
        <v>18.785833333333329</v>
      </c>
      <c r="I271" s="4">
        <v>0</v>
      </c>
      <c r="J271" s="4">
        <v>0</v>
      </c>
      <c r="K271" s="6">
        <v>7.6</v>
      </c>
      <c r="L271" s="4">
        <v>0</v>
      </c>
      <c r="M271" s="4">
        <v>0</v>
      </c>
      <c r="N271" s="8">
        <f t="shared" si="9"/>
        <v>0</v>
      </c>
      <c r="O271">
        <v>0</v>
      </c>
      <c r="P271" s="4">
        <v>7.6</v>
      </c>
      <c r="Q271" s="4">
        <v>13623.2</v>
      </c>
      <c r="R271">
        <f t="shared" si="10"/>
        <v>0</v>
      </c>
    </row>
    <row r="272" spans="1:19">
      <c r="A272" s="2">
        <v>45714</v>
      </c>
      <c r="B272" s="4">
        <v>20</v>
      </c>
      <c r="C272" s="4">
        <v>13.9</v>
      </c>
      <c r="D272" s="4">
        <v>469.42583333333329</v>
      </c>
      <c r="E272" s="4">
        <v>226.95833333333329</v>
      </c>
      <c r="F272" s="4">
        <v>3.4725000000000001</v>
      </c>
      <c r="G272" s="4">
        <v>9.8933333333333326</v>
      </c>
      <c r="H272" s="4">
        <v>18.274583333333329</v>
      </c>
      <c r="I272" s="4">
        <v>0</v>
      </c>
      <c r="J272" s="4">
        <v>0</v>
      </c>
      <c r="K272" s="6">
        <v>0</v>
      </c>
      <c r="L272" s="4">
        <v>0</v>
      </c>
      <c r="M272" s="4">
        <v>0</v>
      </c>
      <c r="N272" s="8">
        <f t="shared" si="9"/>
        <v>0</v>
      </c>
      <c r="O272">
        <v>0</v>
      </c>
      <c r="P272" s="4">
        <v>0</v>
      </c>
      <c r="Q272" s="4">
        <v>13623.2</v>
      </c>
      <c r="R272">
        <f t="shared" si="10"/>
        <v>0</v>
      </c>
    </row>
    <row r="273" spans="1:18">
      <c r="A273" s="2">
        <v>45715</v>
      </c>
      <c r="B273" s="4">
        <v>21.9</v>
      </c>
      <c r="C273" s="4">
        <v>14.8</v>
      </c>
      <c r="D273" s="4">
        <v>423.05583333333328</v>
      </c>
      <c r="E273" s="4">
        <v>330.375</v>
      </c>
      <c r="F273" s="4">
        <v>2.780416666666667</v>
      </c>
      <c r="G273" s="4">
        <v>14.9575</v>
      </c>
      <c r="H273" s="4">
        <v>19.354583333333331</v>
      </c>
      <c r="I273" s="4">
        <v>0</v>
      </c>
      <c r="J273" s="4">
        <v>0</v>
      </c>
      <c r="K273" s="6">
        <v>3.4</v>
      </c>
      <c r="L273" s="4">
        <v>0</v>
      </c>
      <c r="M273" s="4">
        <v>0</v>
      </c>
      <c r="N273" s="8">
        <f t="shared" si="9"/>
        <v>0</v>
      </c>
      <c r="O273">
        <v>0</v>
      </c>
      <c r="P273" s="4">
        <v>3.4</v>
      </c>
      <c r="Q273" s="4">
        <v>13623.2</v>
      </c>
      <c r="R273">
        <f t="shared" si="10"/>
        <v>0</v>
      </c>
    </row>
    <row r="274" spans="1:18">
      <c r="A274" s="2">
        <v>45716</v>
      </c>
      <c r="B274" s="4">
        <v>26.1</v>
      </c>
      <c r="C274" s="4">
        <v>15.3</v>
      </c>
      <c r="D274" s="4">
        <v>655.16375000000005</v>
      </c>
      <c r="E274" s="4">
        <v>508.75</v>
      </c>
      <c r="F274" s="4">
        <v>1.5895833333333329</v>
      </c>
      <c r="G274" s="4">
        <v>9.8483333333333345</v>
      </c>
      <c r="H274" s="4">
        <v>22.795833333333331</v>
      </c>
      <c r="I274" s="4">
        <v>0</v>
      </c>
      <c r="J274" s="4">
        <v>0</v>
      </c>
      <c r="K274" s="6">
        <v>14.4</v>
      </c>
      <c r="L274" s="4">
        <v>0</v>
      </c>
      <c r="M274" s="4">
        <v>0</v>
      </c>
      <c r="N274" s="8">
        <f t="shared" si="9"/>
        <v>0</v>
      </c>
      <c r="O274">
        <v>0</v>
      </c>
      <c r="P274" s="4">
        <v>14.4</v>
      </c>
      <c r="Q274" s="4">
        <v>13623.2</v>
      </c>
      <c r="R274">
        <f t="shared" si="10"/>
        <v>0</v>
      </c>
    </row>
    <row r="275" spans="1:18">
      <c r="A275" s="2">
        <v>45717</v>
      </c>
      <c r="B275" s="4">
        <v>28.3</v>
      </c>
      <c r="C275" s="4">
        <v>17</v>
      </c>
      <c r="D275" s="4">
        <v>655.17500000000007</v>
      </c>
      <c r="E275" s="4">
        <v>490.33333333333331</v>
      </c>
      <c r="F275" s="4">
        <v>1.755416666666666</v>
      </c>
      <c r="G275" s="4">
        <v>14.40458333333333</v>
      </c>
      <c r="H275" s="4">
        <v>24.76958333333333</v>
      </c>
      <c r="I275" s="4">
        <v>0</v>
      </c>
      <c r="J275" s="4">
        <v>0</v>
      </c>
      <c r="K275" s="6">
        <v>33.6</v>
      </c>
      <c r="L275" s="4">
        <v>0</v>
      </c>
      <c r="M275" s="4">
        <v>0</v>
      </c>
      <c r="N275" s="8">
        <f t="shared" si="9"/>
        <v>0</v>
      </c>
      <c r="O275">
        <v>0</v>
      </c>
      <c r="P275" s="4">
        <v>33.6</v>
      </c>
      <c r="Q275" s="4">
        <v>13623.2</v>
      </c>
      <c r="R275">
        <f t="shared" si="10"/>
        <v>0</v>
      </c>
    </row>
    <row r="276" spans="1:18">
      <c r="A276" s="2">
        <v>45718</v>
      </c>
      <c r="B276" s="4">
        <v>30.3</v>
      </c>
      <c r="C276" s="4">
        <v>19.399999999999999</v>
      </c>
      <c r="D276" s="4">
        <v>655.18999999999994</v>
      </c>
      <c r="E276" s="4">
        <v>437.875</v>
      </c>
      <c r="F276" s="4">
        <v>1.1733333333333329</v>
      </c>
      <c r="G276" s="4">
        <v>13.5625</v>
      </c>
      <c r="H276" s="4">
        <v>27.380833333333332</v>
      </c>
      <c r="I276" s="4">
        <v>0</v>
      </c>
      <c r="J276" s="4">
        <v>0</v>
      </c>
      <c r="K276" s="6">
        <v>0</v>
      </c>
      <c r="L276" s="4">
        <v>0</v>
      </c>
      <c r="M276" s="4">
        <v>0</v>
      </c>
      <c r="N276" s="8">
        <f t="shared" si="9"/>
        <v>0</v>
      </c>
      <c r="O276">
        <v>0</v>
      </c>
      <c r="P276" s="4">
        <v>0</v>
      </c>
      <c r="Q276" s="4">
        <v>13623.2</v>
      </c>
      <c r="R276">
        <f t="shared" si="10"/>
        <v>0</v>
      </c>
    </row>
    <row r="277" spans="1:18">
      <c r="A277" s="2">
        <v>45719</v>
      </c>
      <c r="B277" s="4">
        <v>28.7</v>
      </c>
      <c r="C277" s="4">
        <v>21.1</v>
      </c>
      <c r="D277" s="4">
        <v>655.19375000000002</v>
      </c>
      <c r="E277" s="4">
        <v>386.83333333333331</v>
      </c>
      <c r="F277" s="4">
        <v>1.7475000000000001</v>
      </c>
      <c r="G277" s="4">
        <v>17.170833333333331</v>
      </c>
      <c r="H277" s="4">
        <v>28.4575</v>
      </c>
      <c r="I277" s="4">
        <v>0</v>
      </c>
      <c r="J277" s="4">
        <v>0</v>
      </c>
      <c r="K277" s="6">
        <v>0.4</v>
      </c>
      <c r="L277" s="4">
        <v>0</v>
      </c>
      <c r="M277" s="4">
        <v>0</v>
      </c>
      <c r="N277" s="8">
        <f t="shared" si="9"/>
        <v>0</v>
      </c>
      <c r="O277">
        <v>0</v>
      </c>
      <c r="P277" s="4">
        <v>0.4</v>
      </c>
      <c r="Q277" s="4">
        <v>13623.2</v>
      </c>
      <c r="R277">
        <f t="shared" si="10"/>
        <v>0</v>
      </c>
    </row>
    <row r="278" spans="1:18">
      <c r="A278" s="2">
        <v>45720</v>
      </c>
      <c r="B278" s="4">
        <v>30.2</v>
      </c>
      <c r="C278" s="4">
        <v>18.3</v>
      </c>
      <c r="D278" s="4">
        <v>655.17375000000004</v>
      </c>
      <c r="E278" s="4">
        <v>397.83333333333331</v>
      </c>
      <c r="F278" s="4">
        <v>3.3170833333333332</v>
      </c>
      <c r="G278" s="4">
        <v>9.9175000000000004</v>
      </c>
      <c r="H278" s="4">
        <v>25.361666666666672</v>
      </c>
      <c r="I278" s="4">
        <v>0</v>
      </c>
      <c r="J278" s="4">
        <v>1.1249999999999999E-3</v>
      </c>
      <c r="K278" s="6">
        <v>37.799999999999997</v>
      </c>
      <c r="L278" s="4">
        <v>0</v>
      </c>
      <c r="M278" s="4">
        <v>0</v>
      </c>
      <c r="N278" s="8">
        <f t="shared" si="9"/>
        <v>0</v>
      </c>
      <c r="O278">
        <v>0</v>
      </c>
      <c r="P278" s="4">
        <v>37.799999999999997</v>
      </c>
      <c r="Q278" s="4">
        <v>13623.2</v>
      </c>
      <c r="R278">
        <f t="shared" si="10"/>
        <v>0</v>
      </c>
    </row>
    <row r="279" spans="1:18">
      <c r="A279" s="2">
        <v>45721</v>
      </c>
      <c r="B279" s="4">
        <v>21.5</v>
      </c>
      <c r="C279" s="4">
        <v>16.600000000000001</v>
      </c>
      <c r="D279" s="4">
        <v>655.15</v>
      </c>
      <c r="E279" s="4">
        <v>270.5</v>
      </c>
      <c r="F279" s="4">
        <v>4.6391666666666671</v>
      </c>
      <c r="G279" s="4">
        <v>2.4291666666666671</v>
      </c>
      <c r="H279" s="4">
        <v>20.745000000000001</v>
      </c>
      <c r="I279" s="4">
        <v>0</v>
      </c>
      <c r="J279" s="4">
        <v>0</v>
      </c>
      <c r="K279" s="6">
        <v>0.60000000000000009</v>
      </c>
      <c r="L279" s="4">
        <v>0</v>
      </c>
      <c r="M279" s="4">
        <v>0</v>
      </c>
      <c r="N279" s="8">
        <f t="shared" si="9"/>
        <v>0</v>
      </c>
      <c r="O279">
        <v>0</v>
      </c>
      <c r="P279" s="4">
        <v>0.6</v>
      </c>
      <c r="Q279" s="4">
        <v>13623.2</v>
      </c>
      <c r="R279">
        <f t="shared" si="10"/>
        <v>0</v>
      </c>
    </row>
    <row r="280" spans="1:18">
      <c r="A280" s="2">
        <v>45722</v>
      </c>
      <c r="B280" s="4">
        <v>18.2</v>
      </c>
      <c r="C280" s="4">
        <v>12.8</v>
      </c>
      <c r="D280" s="4">
        <v>655.12250000000006</v>
      </c>
      <c r="E280" s="4">
        <v>209.54166666666671</v>
      </c>
      <c r="F280" s="4">
        <v>6.8312500000000007</v>
      </c>
      <c r="G280" s="4">
        <v>5.3045833333333334</v>
      </c>
      <c r="H280" s="4">
        <v>16.36</v>
      </c>
      <c r="I280" s="4">
        <v>0</v>
      </c>
      <c r="J280" s="4">
        <v>0</v>
      </c>
      <c r="K280" s="6">
        <v>5.6000000000000014</v>
      </c>
      <c r="L280" s="4">
        <v>0</v>
      </c>
      <c r="M280" s="4">
        <v>0</v>
      </c>
      <c r="N280" s="8">
        <f t="shared" si="9"/>
        <v>0</v>
      </c>
      <c r="O280">
        <v>0</v>
      </c>
      <c r="P280" s="4">
        <v>5.6</v>
      </c>
      <c r="Q280" s="4">
        <v>13623.2</v>
      </c>
      <c r="R280">
        <f t="shared" si="10"/>
        <v>0</v>
      </c>
    </row>
    <row r="281" spans="1:18">
      <c r="A281" s="2">
        <v>45723</v>
      </c>
      <c r="B281" s="4">
        <v>18.399999999999999</v>
      </c>
      <c r="C281" s="4">
        <v>13.6</v>
      </c>
      <c r="D281" s="4">
        <v>655.11874999999998</v>
      </c>
      <c r="E281" s="4">
        <v>207.79166666666671</v>
      </c>
      <c r="F281" s="4">
        <v>5.1033333333333326</v>
      </c>
      <c r="G281" s="4">
        <v>1.6387499999999999</v>
      </c>
      <c r="H281" s="4">
        <v>17.067916666666669</v>
      </c>
      <c r="I281" s="4">
        <v>0</v>
      </c>
      <c r="J281" s="4">
        <v>0</v>
      </c>
      <c r="K281" s="6">
        <v>0</v>
      </c>
      <c r="L281" s="4">
        <v>0</v>
      </c>
      <c r="M281" s="4">
        <v>0</v>
      </c>
      <c r="N281" s="8">
        <f t="shared" si="9"/>
        <v>0</v>
      </c>
      <c r="O281">
        <v>0</v>
      </c>
      <c r="P281" s="4">
        <v>0</v>
      </c>
      <c r="Q281" s="4">
        <v>13623.2</v>
      </c>
      <c r="R281">
        <f t="shared" si="10"/>
        <v>0</v>
      </c>
    </row>
    <row r="282" spans="1:18">
      <c r="A282" s="2">
        <v>45724</v>
      </c>
      <c r="B282" s="4">
        <v>20.2</v>
      </c>
      <c r="C282" s="4">
        <v>13.4</v>
      </c>
      <c r="D282" s="4">
        <v>655.12250000000006</v>
      </c>
      <c r="E282" s="4">
        <v>431.375</v>
      </c>
      <c r="F282" s="4">
        <v>5.3445833333333326</v>
      </c>
      <c r="G282" s="4">
        <v>3.3395833333333331</v>
      </c>
      <c r="H282" s="4">
        <v>18.192083333333329</v>
      </c>
      <c r="I282" s="4">
        <v>0</v>
      </c>
      <c r="J282" s="4">
        <v>0</v>
      </c>
      <c r="K282" s="6">
        <v>0.6</v>
      </c>
      <c r="L282" s="4">
        <v>0</v>
      </c>
      <c r="M282" s="4">
        <v>0</v>
      </c>
      <c r="N282" s="8">
        <f t="shared" si="9"/>
        <v>0</v>
      </c>
      <c r="O282">
        <v>0</v>
      </c>
      <c r="P282" s="4">
        <v>0.6</v>
      </c>
      <c r="Q282" s="4">
        <v>13623.2</v>
      </c>
      <c r="R282">
        <f t="shared" si="10"/>
        <v>0</v>
      </c>
    </row>
    <row r="283" spans="1:18">
      <c r="A283" s="2">
        <v>45725</v>
      </c>
      <c r="B283" s="4">
        <v>22.7</v>
      </c>
      <c r="C283" s="4">
        <v>14.1</v>
      </c>
      <c r="D283" s="4">
        <v>655.13250000000005</v>
      </c>
      <c r="E283" s="4">
        <v>497.125</v>
      </c>
      <c r="F283" s="4">
        <v>5.0229166666666663</v>
      </c>
      <c r="G283" s="4">
        <v>2.7537500000000001</v>
      </c>
      <c r="H283" s="4">
        <v>20.103333333333339</v>
      </c>
      <c r="I283" s="4">
        <v>0</v>
      </c>
      <c r="J283" s="4">
        <v>0</v>
      </c>
      <c r="K283" s="6">
        <v>0</v>
      </c>
      <c r="L283" s="4">
        <v>0</v>
      </c>
      <c r="M283" s="4">
        <v>0</v>
      </c>
      <c r="N283" s="8">
        <f t="shared" si="9"/>
        <v>0</v>
      </c>
      <c r="O283">
        <v>0</v>
      </c>
      <c r="P283" s="4">
        <v>0</v>
      </c>
      <c r="Q283" s="4">
        <v>13623.2</v>
      </c>
      <c r="R283">
        <f t="shared" si="10"/>
        <v>0</v>
      </c>
    </row>
    <row r="284" spans="1:18">
      <c r="A284" s="2">
        <v>45726</v>
      </c>
      <c r="B284" s="4">
        <v>21.7</v>
      </c>
      <c r="C284" s="4">
        <v>15.4</v>
      </c>
      <c r="D284" s="4">
        <v>608.68791666666664</v>
      </c>
      <c r="E284" s="4">
        <v>376.91666666666669</v>
      </c>
      <c r="F284" s="4">
        <v>2.7320833333333332</v>
      </c>
      <c r="G284" s="4">
        <v>12.90833333333333</v>
      </c>
      <c r="H284" s="4">
        <v>20.317083333333329</v>
      </c>
      <c r="I284" s="4">
        <v>0</v>
      </c>
      <c r="J284" s="4">
        <v>0</v>
      </c>
      <c r="K284" s="6">
        <v>0</v>
      </c>
      <c r="L284" s="4">
        <v>0</v>
      </c>
      <c r="M284" s="4">
        <v>1194.7</v>
      </c>
      <c r="N284" s="8">
        <f t="shared" si="9"/>
        <v>708.39999999999964</v>
      </c>
      <c r="O284">
        <v>0</v>
      </c>
      <c r="P284" s="4">
        <v>0</v>
      </c>
      <c r="Q284" s="4">
        <v>14331.6</v>
      </c>
      <c r="R284">
        <f t="shared" si="10"/>
        <v>0.91999999999999948</v>
      </c>
    </row>
    <row r="285" spans="1:18">
      <c r="A285" s="2">
        <v>45727</v>
      </c>
      <c r="B285" s="4">
        <v>27.4</v>
      </c>
      <c r="C285" s="4">
        <v>15.6</v>
      </c>
      <c r="D285" s="4">
        <v>277.66958333333332</v>
      </c>
      <c r="E285" s="4">
        <v>321.625</v>
      </c>
      <c r="F285" s="4">
        <v>2.0266666666666668</v>
      </c>
      <c r="G285" s="4">
        <v>10.508749999999999</v>
      </c>
      <c r="H285" s="4">
        <v>22.85</v>
      </c>
      <c r="I285" s="4">
        <v>0</v>
      </c>
      <c r="J285" s="4">
        <v>0</v>
      </c>
      <c r="K285" s="6">
        <v>0</v>
      </c>
      <c r="L285" s="4">
        <v>0</v>
      </c>
      <c r="M285" s="4">
        <v>7178.7</v>
      </c>
      <c r="N285" s="8">
        <f t="shared" si="9"/>
        <v>418.19999999999891</v>
      </c>
      <c r="O285">
        <v>0</v>
      </c>
      <c r="P285" s="4">
        <v>0</v>
      </c>
      <c r="Q285" s="4">
        <v>14749.8</v>
      </c>
      <c r="R285">
        <f t="shared" si="10"/>
        <v>0.54311688311688167</v>
      </c>
    </row>
    <row r="286" spans="1:18">
      <c r="A286" s="2">
        <v>45728</v>
      </c>
      <c r="B286" s="4">
        <v>30.15</v>
      </c>
      <c r="C286" s="4">
        <v>17.47</v>
      </c>
      <c r="D286" s="4">
        <v>82.603750000000005</v>
      </c>
      <c r="E286" s="4">
        <v>532</v>
      </c>
      <c r="F286" s="4">
        <v>1.2954166666666671</v>
      </c>
      <c r="G286" s="4">
        <v>12.59708333333333</v>
      </c>
      <c r="H286" s="4">
        <v>27.646249999999998</v>
      </c>
      <c r="I286" s="4">
        <v>0</v>
      </c>
      <c r="J286" s="4">
        <v>0</v>
      </c>
      <c r="K286" s="6">
        <v>0</v>
      </c>
      <c r="L286" s="4">
        <v>0</v>
      </c>
      <c r="M286" s="4">
        <v>6552</v>
      </c>
      <c r="N286" s="8">
        <f t="shared" si="9"/>
        <v>0</v>
      </c>
      <c r="O286">
        <v>0</v>
      </c>
      <c r="P286" s="4">
        <v>0</v>
      </c>
      <c r="Q286" s="4">
        <v>14749.8</v>
      </c>
      <c r="R286">
        <f t="shared" si="10"/>
        <v>0</v>
      </c>
    </row>
    <row r="287" spans="1:18">
      <c r="A287" s="2">
        <v>45729</v>
      </c>
      <c r="B287" s="4">
        <v>27.91</v>
      </c>
      <c r="C287" s="4">
        <v>20</v>
      </c>
      <c r="D287" s="4">
        <v>93.34416666666668</v>
      </c>
      <c r="E287" s="4">
        <v>218.75</v>
      </c>
      <c r="F287" s="4">
        <v>2.2879166666666668</v>
      </c>
      <c r="G287" s="4">
        <v>13.403333333333331</v>
      </c>
      <c r="H287" s="4">
        <v>24.69541666666667</v>
      </c>
      <c r="I287" s="4">
        <v>0</v>
      </c>
      <c r="J287" s="4">
        <v>0</v>
      </c>
      <c r="K287" s="6">
        <v>7.8</v>
      </c>
      <c r="L287" s="4">
        <v>0</v>
      </c>
      <c r="M287" s="4">
        <v>396.6</v>
      </c>
      <c r="N287" s="8">
        <f t="shared" si="9"/>
        <v>264.5</v>
      </c>
      <c r="O287">
        <v>0</v>
      </c>
      <c r="P287" s="4">
        <v>7.8</v>
      </c>
      <c r="Q287" s="4">
        <v>15014.3</v>
      </c>
      <c r="R287">
        <f t="shared" si="10"/>
        <v>0.34350649350649348</v>
      </c>
    </row>
    <row r="288" spans="1:18">
      <c r="A288" s="2">
        <v>45730</v>
      </c>
      <c r="B288" s="4">
        <v>25.86</v>
      </c>
      <c r="C288" s="4">
        <v>19.23</v>
      </c>
      <c r="D288" s="4">
        <v>93.814583333333317</v>
      </c>
      <c r="E288" s="4">
        <v>367.625</v>
      </c>
      <c r="F288" s="4">
        <v>3.5683333333333329</v>
      </c>
      <c r="G288" s="4">
        <v>10.15666666666667</v>
      </c>
      <c r="H288" s="4">
        <v>24.076666666666672</v>
      </c>
      <c r="I288" s="4">
        <v>0</v>
      </c>
      <c r="J288" s="4">
        <v>0</v>
      </c>
      <c r="K288" s="6">
        <v>0.4</v>
      </c>
      <c r="L288" s="4">
        <v>0</v>
      </c>
      <c r="M288" s="4">
        <v>45862.6</v>
      </c>
      <c r="N288" s="8">
        <f t="shared" si="9"/>
        <v>0</v>
      </c>
      <c r="O288">
        <v>0</v>
      </c>
      <c r="P288" s="4">
        <v>0.4</v>
      </c>
      <c r="Q288" s="4">
        <v>15014.3</v>
      </c>
      <c r="R288">
        <f t="shared" si="10"/>
        <v>0</v>
      </c>
    </row>
    <row r="289" spans="1:18">
      <c r="A289" s="2">
        <v>45731</v>
      </c>
      <c r="B289" s="4">
        <v>24.91</v>
      </c>
      <c r="C289" s="4">
        <v>16.34</v>
      </c>
      <c r="D289" s="4">
        <v>92.886250000000004</v>
      </c>
      <c r="E289" s="4">
        <v>241.04166666666671</v>
      </c>
      <c r="F289" s="4">
        <v>3.4224999999999999</v>
      </c>
      <c r="G289" s="4">
        <v>8.8925000000000001</v>
      </c>
      <c r="H289" s="4">
        <v>23.2</v>
      </c>
      <c r="I289" s="4">
        <v>0</v>
      </c>
      <c r="J289" s="4">
        <v>0</v>
      </c>
      <c r="K289" s="6">
        <v>1.4</v>
      </c>
      <c r="L289" s="4">
        <v>0</v>
      </c>
      <c r="M289" s="4">
        <v>39709.199999999997</v>
      </c>
      <c r="N289" s="8">
        <f t="shared" si="9"/>
        <v>266.5</v>
      </c>
      <c r="O289">
        <v>0</v>
      </c>
      <c r="P289" s="4">
        <v>1.4</v>
      </c>
      <c r="Q289" s="4">
        <v>15280.8</v>
      </c>
      <c r="R289">
        <f t="shared" si="10"/>
        <v>0.34610389610389608</v>
      </c>
    </row>
    <row r="290" spans="1:18">
      <c r="A290" s="2">
        <v>45732</v>
      </c>
      <c r="B290" s="4">
        <v>18.75</v>
      </c>
      <c r="C290" s="4">
        <v>13.52</v>
      </c>
      <c r="D290" s="4">
        <v>75.395416666666662</v>
      </c>
      <c r="E290" s="4">
        <v>364.33333333333331</v>
      </c>
      <c r="F290" s="4">
        <v>7.3608333333333329</v>
      </c>
      <c r="G290" s="4">
        <v>6.1591666666666667</v>
      </c>
      <c r="H290" s="4">
        <v>16.934583333333329</v>
      </c>
      <c r="I290" s="4">
        <v>0</v>
      </c>
      <c r="J290" s="4">
        <v>0</v>
      </c>
      <c r="K290" s="6">
        <v>4.8</v>
      </c>
      <c r="L290" s="4">
        <v>0</v>
      </c>
      <c r="M290" s="4">
        <v>20137.099999999999</v>
      </c>
      <c r="N290" s="8">
        <f t="shared" si="9"/>
        <v>267.40000000000146</v>
      </c>
      <c r="O290">
        <v>0</v>
      </c>
      <c r="P290" s="4">
        <v>4.2</v>
      </c>
      <c r="Q290" s="4">
        <v>15548.2</v>
      </c>
      <c r="R290">
        <f t="shared" si="10"/>
        <v>0.34727272727272918</v>
      </c>
    </row>
    <row r="291" spans="1:18">
      <c r="A291" s="2">
        <v>45733</v>
      </c>
      <c r="B291" s="4">
        <v>14.47</v>
      </c>
      <c r="C291" s="4">
        <v>11.68</v>
      </c>
      <c r="D291" s="4">
        <v>76.985416666666666</v>
      </c>
      <c r="E291" s="4">
        <v>70.625</v>
      </c>
      <c r="F291" s="4">
        <v>4.0283333333333333</v>
      </c>
      <c r="G291" s="4">
        <v>5.019166666666667</v>
      </c>
      <c r="H291" s="4">
        <v>13.74375</v>
      </c>
      <c r="I291" s="4">
        <v>0</v>
      </c>
      <c r="J291" s="4">
        <v>0</v>
      </c>
      <c r="K291" s="6">
        <v>0.4</v>
      </c>
      <c r="L291" s="4">
        <v>0</v>
      </c>
      <c r="M291" s="4">
        <v>65917.3</v>
      </c>
      <c r="N291" s="8">
        <f t="shared" si="9"/>
        <v>264.19999999999891</v>
      </c>
      <c r="O291">
        <v>0</v>
      </c>
      <c r="P291" s="4">
        <v>0.4</v>
      </c>
      <c r="Q291" s="4">
        <v>15812.4</v>
      </c>
      <c r="R291">
        <f t="shared" si="10"/>
        <v>0.34311688311688171</v>
      </c>
    </row>
    <row r="292" spans="1:18">
      <c r="A292" s="2">
        <v>45734</v>
      </c>
      <c r="B292" s="4">
        <v>16.04</v>
      </c>
      <c r="C292" s="4">
        <v>9.89</v>
      </c>
      <c r="D292" s="4">
        <v>80.012500000000003</v>
      </c>
      <c r="E292" s="4">
        <v>80.791666666666671</v>
      </c>
      <c r="F292" s="4">
        <v>2.5054166666666671</v>
      </c>
      <c r="G292" s="4">
        <v>10.81583333333333</v>
      </c>
      <c r="H292" s="4">
        <v>13.237500000000001</v>
      </c>
      <c r="I292" s="4">
        <v>0</v>
      </c>
      <c r="J292" s="4">
        <v>0</v>
      </c>
      <c r="K292" s="6">
        <v>2</v>
      </c>
      <c r="L292" s="4">
        <v>0</v>
      </c>
      <c r="M292" s="4">
        <v>13103.9</v>
      </c>
      <c r="N292" s="8">
        <f t="shared" si="9"/>
        <v>0</v>
      </c>
      <c r="O292">
        <v>0</v>
      </c>
      <c r="P292" s="4">
        <v>2</v>
      </c>
      <c r="Q292" s="4">
        <v>15812.4</v>
      </c>
      <c r="R292">
        <f t="shared" si="10"/>
        <v>0</v>
      </c>
    </row>
    <row r="293" spans="1:18">
      <c r="A293" s="2">
        <v>45735</v>
      </c>
      <c r="B293" s="4">
        <v>21.47</v>
      </c>
      <c r="C293" s="4">
        <v>10.18</v>
      </c>
      <c r="D293" s="4">
        <v>74.98041666666667</v>
      </c>
      <c r="E293" s="4">
        <v>464.29166666666669</v>
      </c>
      <c r="F293" s="4">
        <v>2.0366666666666671</v>
      </c>
      <c r="G293" s="4">
        <v>8.7074999999999996</v>
      </c>
      <c r="H293" s="4">
        <v>18.43333333333333</v>
      </c>
      <c r="I293" s="4">
        <v>0</v>
      </c>
      <c r="J293" s="4">
        <v>0</v>
      </c>
      <c r="K293" s="6">
        <v>3.6</v>
      </c>
      <c r="L293" s="4">
        <v>0</v>
      </c>
      <c r="M293" s="4">
        <v>32766.7</v>
      </c>
      <c r="N293" s="8">
        <f t="shared" si="9"/>
        <v>2.3999999999996362</v>
      </c>
      <c r="O293">
        <v>0</v>
      </c>
      <c r="P293" s="4">
        <v>3.6</v>
      </c>
      <c r="Q293" s="4">
        <v>15814.8</v>
      </c>
      <c r="R293">
        <f t="shared" si="10"/>
        <v>3.1168831168826446E-3</v>
      </c>
    </row>
    <row r="294" spans="1:18">
      <c r="A294" s="2">
        <v>45736</v>
      </c>
      <c r="B294" s="4">
        <v>21.32</v>
      </c>
      <c r="C294" s="4">
        <v>11.72</v>
      </c>
      <c r="D294" s="4">
        <v>74.515416666666667</v>
      </c>
      <c r="E294" s="4">
        <v>550.875</v>
      </c>
      <c r="F294" s="4">
        <v>3.322916666666667</v>
      </c>
      <c r="G294" s="4">
        <v>14.9</v>
      </c>
      <c r="H294" s="4">
        <v>19.205833333333331</v>
      </c>
      <c r="I294" s="4">
        <v>0</v>
      </c>
      <c r="J294" s="4">
        <v>0</v>
      </c>
      <c r="K294" s="6">
        <v>35.200000000000003</v>
      </c>
      <c r="L294" s="4">
        <v>0</v>
      </c>
      <c r="M294" s="4">
        <v>58964.9</v>
      </c>
      <c r="N294" s="8">
        <f t="shared" si="9"/>
        <v>1</v>
      </c>
      <c r="O294">
        <v>0</v>
      </c>
      <c r="P294" s="4">
        <v>35.200000000000003</v>
      </c>
      <c r="Q294" s="4">
        <v>15815.8</v>
      </c>
      <c r="R294">
        <f t="shared" si="10"/>
        <v>1.2987012987012987E-3</v>
      </c>
    </row>
    <row r="295" spans="1:18">
      <c r="A295" s="2">
        <v>45737</v>
      </c>
      <c r="B295" s="4">
        <v>23.41</v>
      </c>
      <c r="C295" s="4">
        <v>10.95</v>
      </c>
      <c r="D295" s="4">
        <v>74.129583333333329</v>
      </c>
      <c r="E295" s="4">
        <v>553.75</v>
      </c>
      <c r="F295" s="4">
        <v>2.4379166666666672</v>
      </c>
      <c r="G295" s="4">
        <v>13.04875</v>
      </c>
      <c r="H295" s="4">
        <v>20.8325</v>
      </c>
      <c r="I295" s="4">
        <v>0</v>
      </c>
      <c r="J295" s="4">
        <v>0</v>
      </c>
      <c r="K295" s="6">
        <v>4</v>
      </c>
      <c r="L295" s="4">
        <v>0</v>
      </c>
      <c r="M295" s="4">
        <v>45870.3</v>
      </c>
      <c r="N295" s="8">
        <f t="shared" si="9"/>
        <v>7.2000000000007276</v>
      </c>
      <c r="O295">
        <v>0</v>
      </c>
      <c r="P295" s="4">
        <v>4</v>
      </c>
      <c r="Q295" s="4">
        <v>15823</v>
      </c>
      <c r="R295">
        <f t="shared" si="10"/>
        <v>9.3506493506502961E-3</v>
      </c>
    </row>
    <row r="296" spans="1:18">
      <c r="A296" s="2">
        <v>45738</v>
      </c>
      <c r="B296" s="4">
        <v>24.25</v>
      </c>
      <c r="C296" s="4">
        <v>11.5</v>
      </c>
      <c r="D296" s="4">
        <v>77.045833333333334</v>
      </c>
      <c r="E296" s="4">
        <v>553.08333333333337</v>
      </c>
      <c r="F296" s="4">
        <v>1.188333333333333</v>
      </c>
      <c r="G296" s="4">
        <v>16.482916666666672</v>
      </c>
      <c r="H296" s="4">
        <v>22.49958333333333</v>
      </c>
      <c r="I296" s="4">
        <v>0</v>
      </c>
      <c r="J296" s="4">
        <v>0</v>
      </c>
      <c r="K296" s="6">
        <v>0</v>
      </c>
      <c r="L296" s="4">
        <v>0</v>
      </c>
      <c r="M296" s="4">
        <v>19666.099999999999</v>
      </c>
      <c r="N296" s="8">
        <f t="shared" si="9"/>
        <v>9.6000000000003638</v>
      </c>
      <c r="O296">
        <v>0</v>
      </c>
      <c r="P296" s="4">
        <v>0</v>
      </c>
      <c r="Q296" s="4">
        <v>15832.6</v>
      </c>
      <c r="R296">
        <f t="shared" si="10"/>
        <v>1.2467532467532939E-2</v>
      </c>
    </row>
    <row r="297" spans="1:18">
      <c r="A297" s="2">
        <v>45739</v>
      </c>
      <c r="B297" s="4">
        <v>25.53</v>
      </c>
      <c r="C297" s="4">
        <v>12.67</v>
      </c>
      <c r="D297" s="4">
        <v>72.15625</v>
      </c>
      <c r="E297" s="4">
        <v>535.375</v>
      </c>
      <c r="F297" s="4">
        <v>1.0429166666666669</v>
      </c>
      <c r="G297" s="4">
        <v>16.442499999999999</v>
      </c>
      <c r="H297" s="4">
        <v>23.87083333333333</v>
      </c>
      <c r="I297" s="4">
        <v>0</v>
      </c>
      <c r="J297" s="4">
        <v>0</v>
      </c>
      <c r="K297" s="6">
        <v>0</v>
      </c>
      <c r="L297" s="4">
        <v>0</v>
      </c>
      <c r="M297" s="4">
        <v>7190.2999999999993</v>
      </c>
      <c r="N297" s="8">
        <f t="shared" si="9"/>
        <v>403.39999999999964</v>
      </c>
      <c r="O297">
        <v>0</v>
      </c>
      <c r="P297" s="4">
        <v>0</v>
      </c>
      <c r="Q297" s="4">
        <v>16236</v>
      </c>
      <c r="R297">
        <f t="shared" si="10"/>
        <v>0.52389610389610342</v>
      </c>
    </row>
    <row r="298" spans="1:18">
      <c r="A298" s="2">
        <v>45740</v>
      </c>
      <c r="B298" s="4">
        <v>27.11</v>
      </c>
      <c r="C298" s="4">
        <v>14.51</v>
      </c>
      <c r="D298" s="4">
        <v>77.641666666666666</v>
      </c>
      <c r="E298" s="4">
        <v>530.20833333333337</v>
      </c>
      <c r="F298" s="4">
        <v>1.2837499999999999</v>
      </c>
      <c r="G298" s="4">
        <v>19.127083333333331</v>
      </c>
      <c r="H298" s="4">
        <v>26.317083333333329</v>
      </c>
      <c r="I298" s="4">
        <v>0</v>
      </c>
      <c r="J298" s="4">
        <v>0</v>
      </c>
      <c r="K298" s="6">
        <v>0</v>
      </c>
      <c r="L298" s="4">
        <v>0</v>
      </c>
      <c r="M298" s="4">
        <v>236.3</v>
      </c>
      <c r="N298" s="8">
        <f t="shared" si="9"/>
        <v>139.89999999999964</v>
      </c>
      <c r="O298">
        <v>0</v>
      </c>
      <c r="P298" s="4">
        <v>0</v>
      </c>
      <c r="Q298" s="4">
        <v>16375.9</v>
      </c>
      <c r="R298">
        <f t="shared" si="10"/>
        <v>0.1816883116883112</v>
      </c>
    </row>
    <row r="299" spans="1:18">
      <c r="A299" s="2">
        <v>45741</v>
      </c>
      <c r="B299" s="4">
        <v>28.35</v>
      </c>
      <c r="C299" s="4">
        <v>17.55</v>
      </c>
      <c r="D299" s="4">
        <v>83.291250000000005</v>
      </c>
      <c r="E299" s="4">
        <v>537.25</v>
      </c>
      <c r="F299" s="4">
        <v>1.5045833333333329</v>
      </c>
      <c r="G299" s="4">
        <v>19.682083333333331</v>
      </c>
      <c r="H299" s="4">
        <v>28.134583333333339</v>
      </c>
      <c r="I299" s="4">
        <v>0</v>
      </c>
      <c r="J299" s="4">
        <v>0</v>
      </c>
      <c r="K299" s="6">
        <v>0</v>
      </c>
      <c r="L299" s="4">
        <v>0</v>
      </c>
      <c r="M299" s="4">
        <v>313.39999999999998</v>
      </c>
      <c r="N299" s="8">
        <f t="shared" si="9"/>
        <v>175.50000000000182</v>
      </c>
      <c r="O299">
        <v>0</v>
      </c>
      <c r="P299" s="4">
        <v>0</v>
      </c>
      <c r="Q299" s="4">
        <v>16551.400000000001</v>
      </c>
      <c r="R299">
        <f t="shared" si="10"/>
        <v>0.22792207792208027</v>
      </c>
    </row>
    <row r="300" spans="1:18">
      <c r="A300" s="2">
        <v>45742</v>
      </c>
      <c r="B300" s="4">
        <v>29.23</v>
      </c>
      <c r="C300" s="4">
        <v>18.420000000000002</v>
      </c>
      <c r="D300" s="4">
        <v>88.882499999999993</v>
      </c>
      <c r="E300" s="4">
        <v>521.54166666666663</v>
      </c>
      <c r="F300" s="4">
        <v>2.5095833333333331</v>
      </c>
      <c r="G300" s="4">
        <v>19.353333333333339</v>
      </c>
      <c r="H300" s="4">
        <v>28.59333333333333</v>
      </c>
      <c r="I300" s="4">
        <v>0</v>
      </c>
      <c r="J300" s="4">
        <v>0</v>
      </c>
      <c r="K300" s="6">
        <v>0</v>
      </c>
      <c r="L300" s="4">
        <v>0</v>
      </c>
      <c r="M300" s="4">
        <v>312.7</v>
      </c>
      <c r="N300" s="8">
        <f t="shared" si="9"/>
        <v>175.69999999999709</v>
      </c>
      <c r="O300">
        <v>0</v>
      </c>
      <c r="P300" s="4">
        <v>0</v>
      </c>
      <c r="Q300" s="4">
        <v>16727.099999999999</v>
      </c>
      <c r="R300">
        <f t="shared" si="10"/>
        <v>0.22818181818181441</v>
      </c>
    </row>
    <row r="301" spans="1:18">
      <c r="A301" s="2">
        <v>45743</v>
      </c>
      <c r="B301" s="4">
        <v>29.49</v>
      </c>
      <c r="C301" s="4">
        <v>21.32</v>
      </c>
      <c r="D301" s="4">
        <v>86.58</v>
      </c>
      <c r="E301" s="4">
        <v>570</v>
      </c>
      <c r="F301" s="4">
        <v>2.6120833333333331</v>
      </c>
      <c r="G301" s="4">
        <v>20.66041666666667</v>
      </c>
      <c r="H301" s="4">
        <v>30.178750000000001</v>
      </c>
      <c r="I301" s="4">
        <v>0</v>
      </c>
      <c r="J301" s="4">
        <v>0</v>
      </c>
      <c r="K301" s="6">
        <v>0</v>
      </c>
      <c r="L301" s="4">
        <v>0</v>
      </c>
      <c r="M301" s="4">
        <v>0</v>
      </c>
      <c r="N301" s="8">
        <f t="shared" si="9"/>
        <v>0</v>
      </c>
      <c r="O301">
        <v>0</v>
      </c>
      <c r="P301" s="4">
        <v>0</v>
      </c>
      <c r="Q301" s="4">
        <v>16727.099999999999</v>
      </c>
      <c r="R301">
        <f t="shared" si="10"/>
        <v>0</v>
      </c>
    </row>
    <row r="302" spans="1:18">
      <c r="A302" s="2">
        <v>45744</v>
      </c>
      <c r="B302" s="4">
        <v>27.8</v>
      </c>
      <c r="C302" s="4">
        <v>17.11</v>
      </c>
      <c r="D302" s="4">
        <v>86.827916666666667</v>
      </c>
      <c r="E302" s="4">
        <v>477</v>
      </c>
      <c r="F302" s="4">
        <v>4.1816666666666666</v>
      </c>
      <c r="G302" s="4">
        <v>13.696249999999999</v>
      </c>
      <c r="H302" s="4">
        <v>26.16416666666667</v>
      </c>
      <c r="I302" s="4">
        <v>0</v>
      </c>
      <c r="J302" s="4">
        <v>0</v>
      </c>
      <c r="K302" s="6">
        <v>0</v>
      </c>
      <c r="L302" s="4">
        <v>0</v>
      </c>
      <c r="M302" s="4">
        <v>0</v>
      </c>
      <c r="N302" s="8">
        <f t="shared" si="9"/>
        <v>0</v>
      </c>
      <c r="O302">
        <v>0</v>
      </c>
      <c r="P302" s="4">
        <v>0</v>
      </c>
      <c r="Q302" s="4">
        <v>16727.099999999999</v>
      </c>
      <c r="R302">
        <f t="shared" si="10"/>
        <v>0</v>
      </c>
    </row>
    <row r="303" spans="1:18">
      <c r="A303" s="2">
        <v>45745</v>
      </c>
      <c r="B303" s="4">
        <v>20.55</v>
      </c>
      <c r="C303" s="4">
        <v>15.27</v>
      </c>
      <c r="D303" s="4">
        <v>81.722916666666663</v>
      </c>
      <c r="E303" s="4">
        <v>348.79166666666669</v>
      </c>
      <c r="F303" s="4">
        <v>5.3570833333333328</v>
      </c>
      <c r="G303" s="4">
        <v>6.1658333333333326</v>
      </c>
      <c r="H303" s="4">
        <v>21.04291666666667</v>
      </c>
      <c r="I303" s="4">
        <v>0</v>
      </c>
      <c r="J303" s="4">
        <v>0</v>
      </c>
      <c r="K303" s="6">
        <v>0</v>
      </c>
      <c r="L303" s="4">
        <v>0</v>
      </c>
      <c r="M303" s="4">
        <v>467.2</v>
      </c>
      <c r="N303" s="8">
        <f t="shared" si="9"/>
        <v>300.60000000000218</v>
      </c>
      <c r="O303">
        <v>0</v>
      </c>
      <c r="P303" s="4">
        <v>0</v>
      </c>
      <c r="Q303" s="4">
        <v>17027.7</v>
      </c>
      <c r="R303">
        <f t="shared" si="10"/>
        <v>0.39038961038961323</v>
      </c>
    </row>
    <row r="304" spans="1:18">
      <c r="A304" s="2">
        <v>45746</v>
      </c>
      <c r="B304" s="4">
        <v>18.829999999999998</v>
      </c>
      <c r="C304" s="4">
        <v>13.66</v>
      </c>
      <c r="D304" s="4">
        <v>89.57</v>
      </c>
      <c r="E304" s="4">
        <v>174.58333333333329</v>
      </c>
      <c r="F304" s="4">
        <v>5.38375</v>
      </c>
      <c r="G304" s="4">
        <v>4.5779166666666669</v>
      </c>
      <c r="H304" s="4">
        <v>17.157916666666669</v>
      </c>
      <c r="I304" s="4">
        <v>0</v>
      </c>
      <c r="J304" s="4">
        <v>0</v>
      </c>
      <c r="K304" s="6">
        <v>0</v>
      </c>
      <c r="L304" s="4">
        <v>0</v>
      </c>
      <c r="M304" s="4">
        <v>470.1</v>
      </c>
      <c r="N304" s="8">
        <f t="shared" si="9"/>
        <v>301.29999999999927</v>
      </c>
      <c r="O304">
        <v>0</v>
      </c>
      <c r="P304" s="4">
        <v>0</v>
      </c>
      <c r="Q304" s="4">
        <v>17329</v>
      </c>
      <c r="R304">
        <f t="shared" si="10"/>
        <v>0.39129870129870037</v>
      </c>
    </row>
    <row r="305" spans="1:18">
      <c r="A305" s="2">
        <v>45747</v>
      </c>
      <c r="B305" s="4">
        <v>18.420000000000002</v>
      </c>
      <c r="C305" s="4">
        <v>13.44</v>
      </c>
      <c r="D305" s="4">
        <v>92.599583333333328</v>
      </c>
      <c r="E305" s="4">
        <v>144.16666666666671</v>
      </c>
      <c r="F305" s="4">
        <v>4.4741666666666662</v>
      </c>
      <c r="G305" s="4">
        <v>4.0250000000000004</v>
      </c>
      <c r="H305" s="4">
        <v>16.857500000000002</v>
      </c>
      <c r="I305" s="4">
        <v>0</v>
      </c>
      <c r="J305" s="4">
        <v>0</v>
      </c>
      <c r="K305" s="6">
        <v>0</v>
      </c>
      <c r="L305" s="4">
        <v>0</v>
      </c>
      <c r="M305" s="4">
        <v>237</v>
      </c>
      <c r="N305" s="8">
        <f t="shared" si="9"/>
        <v>144</v>
      </c>
      <c r="O305">
        <v>0</v>
      </c>
      <c r="P305" s="4">
        <v>0</v>
      </c>
      <c r="Q305" s="4">
        <v>17473</v>
      </c>
      <c r="R305">
        <f t="shared" si="10"/>
        <v>0.18701298701298702</v>
      </c>
    </row>
    <row r="306" spans="1:18">
      <c r="A306" s="2">
        <v>45748</v>
      </c>
      <c r="B306" s="4">
        <v>20.81</v>
      </c>
      <c r="C306" s="4">
        <v>13.7</v>
      </c>
      <c r="D306" s="4">
        <v>84.135000000000005</v>
      </c>
      <c r="E306" s="4">
        <v>366.66666666666669</v>
      </c>
      <c r="F306" s="4">
        <v>5.5</v>
      </c>
      <c r="G306" s="4">
        <v>4.2387499999999996</v>
      </c>
      <c r="H306" s="4">
        <v>19.475416666666661</v>
      </c>
      <c r="I306" s="4">
        <v>18.008749999999999</v>
      </c>
      <c r="J306" s="4">
        <v>0.1034583333333333</v>
      </c>
      <c r="K306" s="6">
        <v>0</v>
      </c>
      <c r="L306" s="4">
        <v>0</v>
      </c>
      <c r="M306" s="4">
        <v>234.8</v>
      </c>
      <c r="N306" s="8">
        <f t="shared" si="9"/>
        <v>141.90000000000146</v>
      </c>
      <c r="O306">
        <v>0</v>
      </c>
      <c r="P306" s="4">
        <v>0</v>
      </c>
      <c r="Q306" s="4">
        <v>17614.900000000001</v>
      </c>
      <c r="R306">
        <f t="shared" si="10"/>
        <v>0.18428571428571616</v>
      </c>
    </row>
    <row r="307" spans="1:18">
      <c r="A307" s="2">
        <v>45749</v>
      </c>
      <c r="B307" s="4">
        <v>19.63</v>
      </c>
      <c r="C307" s="4">
        <v>13.7</v>
      </c>
      <c r="D307" s="4">
        <v>78.495833333333337</v>
      </c>
      <c r="E307" s="4">
        <v>236.41666666666671</v>
      </c>
      <c r="F307" s="4">
        <v>3.409583333333333</v>
      </c>
      <c r="G307" s="4">
        <v>13.1075</v>
      </c>
      <c r="H307" s="4">
        <v>17.720416666666669</v>
      </c>
      <c r="I307" s="4">
        <v>30.604166666666671</v>
      </c>
      <c r="J307" s="4">
        <v>0.17912500000000001</v>
      </c>
      <c r="K307" s="6">
        <v>0</v>
      </c>
      <c r="L307" s="4">
        <v>0</v>
      </c>
      <c r="M307" s="4">
        <v>0</v>
      </c>
      <c r="N307" s="8">
        <f t="shared" si="9"/>
        <v>0</v>
      </c>
      <c r="O307">
        <v>0</v>
      </c>
      <c r="P307" s="4">
        <v>0</v>
      </c>
      <c r="Q307" s="4">
        <v>17614.900000000001</v>
      </c>
      <c r="R307">
        <f t="shared" si="10"/>
        <v>0</v>
      </c>
    </row>
    <row r="308" spans="1:18">
      <c r="A308" s="2">
        <v>45750</v>
      </c>
      <c r="B308" s="4">
        <v>25.97</v>
      </c>
      <c r="C308" s="4">
        <v>14.36</v>
      </c>
      <c r="D308" s="4">
        <v>80.648749999999993</v>
      </c>
      <c r="E308" s="4">
        <v>494.79166666666669</v>
      </c>
      <c r="F308" s="4">
        <v>1.052083333333333</v>
      </c>
      <c r="G308" s="4">
        <v>14.60916666666667</v>
      </c>
      <c r="H308" s="4">
        <v>21.260833333333331</v>
      </c>
      <c r="I308" s="4">
        <v>25.251666666666669</v>
      </c>
      <c r="J308" s="4">
        <v>0.12145833333333329</v>
      </c>
      <c r="K308" s="6">
        <v>0</v>
      </c>
      <c r="L308" s="4">
        <v>0</v>
      </c>
      <c r="M308" s="4">
        <v>0</v>
      </c>
      <c r="N308" s="8">
        <f t="shared" si="9"/>
        <v>0</v>
      </c>
      <c r="O308">
        <v>0</v>
      </c>
      <c r="P308" s="4">
        <v>0</v>
      </c>
      <c r="Q308" s="4">
        <v>17614.900000000001</v>
      </c>
      <c r="R308">
        <f t="shared" si="10"/>
        <v>0</v>
      </c>
    </row>
    <row r="309" spans="1:18">
      <c r="A309" s="2">
        <v>45751</v>
      </c>
      <c r="B309" s="4">
        <v>27.14</v>
      </c>
      <c r="C309" s="4">
        <v>16.3</v>
      </c>
      <c r="D309" s="4">
        <v>83.490416666666661</v>
      </c>
      <c r="E309" s="4">
        <v>483.20833333333331</v>
      </c>
      <c r="F309" s="4">
        <v>1.023333333333333</v>
      </c>
      <c r="G309" s="4">
        <v>17.55833333333333</v>
      </c>
      <c r="H309" s="4">
        <v>23.243749999999999</v>
      </c>
      <c r="I309" s="4">
        <v>23.303333333333331</v>
      </c>
      <c r="J309" s="4">
        <v>0.1185416666666667</v>
      </c>
      <c r="K309" s="6">
        <v>0</v>
      </c>
      <c r="L309" s="4">
        <v>0</v>
      </c>
      <c r="M309" s="4">
        <v>0</v>
      </c>
      <c r="N309" s="8">
        <f t="shared" si="9"/>
        <v>0</v>
      </c>
      <c r="O309">
        <v>0</v>
      </c>
      <c r="P309" s="4">
        <v>0</v>
      </c>
      <c r="Q309" s="4">
        <v>17614.900000000001</v>
      </c>
      <c r="R309">
        <f t="shared" si="10"/>
        <v>0</v>
      </c>
    </row>
    <row r="310" spans="1:18">
      <c r="A310" s="2">
        <v>45752</v>
      </c>
      <c r="B310" s="4">
        <v>21.47</v>
      </c>
      <c r="C310" s="4">
        <v>19.079999999999998</v>
      </c>
      <c r="D310" s="4">
        <v>90.804583333333326</v>
      </c>
      <c r="E310" s="4">
        <v>174.08333333333329</v>
      </c>
      <c r="F310" s="4">
        <v>3.1645833333333329</v>
      </c>
      <c r="G310" s="4">
        <v>15.88208333333333</v>
      </c>
      <c r="H310" s="4">
        <v>22.3325</v>
      </c>
      <c r="I310" s="4">
        <v>28.543749999999999</v>
      </c>
      <c r="J310" s="4">
        <v>0.25458333333333327</v>
      </c>
      <c r="K310" s="6">
        <v>0</v>
      </c>
      <c r="L310" s="4">
        <v>0</v>
      </c>
      <c r="M310" s="4">
        <v>563.70000000000005</v>
      </c>
      <c r="N310" s="8">
        <f t="shared" si="9"/>
        <v>355.69999999999709</v>
      </c>
      <c r="O310">
        <v>0</v>
      </c>
      <c r="P310" s="4">
        <v>0</v>
      </c>
      <c r="Q310" s="4">
        <v>17970.599999999999</v>
      </c>
      <c r="R310">
        <f t="shared" si="10"/>
        <v>0.46194805194804817</v>
      </c>
    </row>
    <row r="311" spans="1:18">
      <c r="A311" s="2">
        <v>45753</v>
      </c>
      <c r="B311" s="4">
        <v>25.02</v>
      </c>
      <c r="C311" s="4">
        <v>18.170000000000002</v>
      </c>
      <c r="D311" s="4">
        <v>82.825000000000003</v>
      </c>
      <c r="E311" s="4">
        <v>388.75</v>
      </c>
      <c r="F311" s="4">
        <v>2.9087499999999999</v>
      </c>
      <c r="G311" s="4">
        <v>12.3475</v>
      </c>
      <c r="H311" s="4">
        <v>23.067083333333329</v>
      </c>
      <c r="I311" s="4">
        <v>31.752083333333331</v>
      </c>
      <c r="J311" s="4">
        <v>0.2664583333333333</v>
      </c>
      <c r="K311" s="6">
        <v>0</v>
      </c>
      <c r="L311" s="4">
        <v>0</v>
      </c>
      <c r="M311" s="4">
        <v>237.4</v>
      </c>
      <c r="N311" s="8">
        <f t="shared" si="9"/>
        <v>147</v>
      </c>
      <c r="O311">
        <v>0</v>
      </c>
      <c r="P311" s="4">
        <v>0</v>
      </c>
      <c r="Q311" s="4">
        <v>18117.599999999999</v>
      </c>
      <c r="R311">
        <f t="shared" si="10"/>
        <v>0.19090909090909092</v>
      </c>
    </row>
    <row r="312" spans="1:18">
      <c r="A312" s="2">
        <v>45754</v>
      </c>
      <c r="B312" s="4">
        <v>28.68</v>
      </c>
      <c r="C312" s="4">
        <v>19.12</v>
      </c>
      <c r="D312" s="4">
        <v>80.389583333333334</v>
      </c>
      <c r="E312" s="4">
        <v>462.66666666666669</v>
      </c>
      <c r="F312" s="4">
        <v>1.4404166666666669</v>
      </c>
      <c r="G312" s="4">
        <v>20.153333333333329</v>
      </c>
      <c r="H312" s="4">
        <v>24.696249999999999</v>
      </c>
      <c r="I312" s="4">
        <v>28.87</v>
      </c>
      <c r="J312" s="4">
        <v>0.18770833333333331</v>
      </c>
      <c r="K312" s="6">
        <v>0</v>
      </c>
      <c r="L312" s="4">
        <v>0</v>
      </c>
      <c r="M312" s="4">
        <v>237.6</v>
      </c>
      <c r="N312" s="8">
        <f t="shared" si="9"/>
        <v>146.80000000000291</v>
      </c>
      <c r="O312">
        <v>0</v>
      </c>
      <c r="P312" s="4">
        <v>0</v>
      </c>
      <c r="Q312" s="4">
        <v>18264.400000000001</v>
      </c>
      <c r="R312">
        <f t="shared" si="10"/>
        <v>0.19064935064935443</v>
      </c>
    </row>
    <row r="313" spans="1:18">
      <c r="A313" s="2">
        <v>45755</v>
      </c>
      <c r="B313" s="4">
        <v>28.79</v>
      </c>
      <c r="C313" s="4">
        <v>21.06</v>
      </c>
      <c r="D313" s="4">
        <v>84.043750000000003</v>
      </c>
      <c r="E313" s="4">
        <v>477.41666666666669</v>
      </c>
      <c r="F313" s="4">
        <v>1.9437500000000001</v>
      </c>
      <c r="G313" s="4">
        <v>12.8475</v>
      </c>
      <c r="H313" s="4">
        <v>24.645416666666669</v>
      </c>
      <c r="I313" s="4">
        <v>29.74583333333333</v>
      </c>
      <c r="J313" s="4">
        <v>0.16195833333333329</v>
      </c>
      <c r="K313" s="6">
        <v>0</v>
      </c>
      <c r="L313" s="4">
        <v>0</v>
      </c>
      <c r="M313" s="4">
        <v>315</v>
      </c>
      <c r="N313" s="8">
        <f t="shared" si="9"/>
        <v>178.69999999999709</v>
      </c>
      <c r="O313">
        <v>0</v>
      </c>
      <c r="P313" s="4">
        <v>0</v>
      </c>
      <c r="Q313" s="4">
        <v>18443.099999999999</v>
      </c>
      <c r="R313">
        <f t="shared" si="10"/>
        <v>0.2320779220779183</v>
      </c>
    </row>
    <row r="314" spans="1:18">
      <c r="A314" s="2">
        <v>45756</v>
      </c>
      <c r="B314" s="4">
        <v>29.52</v>
      </c>
      <c r="C314" s="4">
        <v>20.81</v>
      </c>
      <c r="D314" s="4">
        <v>84.084999999999994</v>
      </c>
      <c r="E314" s="4">
        <v>478.08333333333331</v>
      </c>
      <c r="F314" s="4">
        <v>1.522083333333333</v>
      </c>
      <c r="G314" s="4">
        <v>20.875</v>
      </c>
      <c r="H314" s="4">
        <v>24.979583333333331</v>
      </c>
      <c r="I314" s="4">
        <v>31.391249999999999</v>
      </c>
      <c r="J314" s="4">
        <v>0.14099999999999999</v>
      </c>
      <c r="K314" s="6">
        <v>0</v>
      </c>
      <c r="L314" s="4">
        <v>0</v>
      </c>
      <c r="M314" s="4">
        <v>313.60000000000002</v>
      </c>
      <c r="N314" s="8">
        <f t="shared" si="9"/>
        <v>176.40000000000146</v>
      </c>
      <c r="O314">
        <v>0</v>
      </c>
      <c r="P314" s="4">
        <v>0</v>
      </c>
      <c r="Q314" s="4">
        <v>18619.5</v>
      </c>
      <c r="R314">
        <f t="shared" si="10"/>
        <v>0.22909090909091098</v>
      </c>
    </row>
    <row r="315" spans="1:18">
      <c r="A315" s="2">
        <v>45757</v>
      </c>
      <c r="B315" s="4">
        <v>29.78</v>
      </c>
      <c r="C315" s="4">
        <v>22.27</v>
      </c>
      <c r="D315" s="4">
        <v>87.912083333333328</v>
      </c>
      <c r="E315" s="4">
        <v>436.5</v>
      </c>
      <c r="F315" s="4">
        <v>1.4675</v>
      </c>
      <c r="G315" s="4">
        <v>18.916250000000002</v>
      </c>
      <c r="H315" s="4">
        <v>25.742083333333341</v>
      </c>
      <c r="I315" s="4">
        <v>32.536666666666669</v>
      </c>
      <c r="J315" s="4">
        <v>0.145125</v>
      </c>
      <c r="K315" s="6">
        <v>0</v>
      </c>
      <c r="L315" s="4">
        <v>0</v>
      </c>
      <c r="M315" s="4">
        <v>312.89999999999998</v>
      </c>
      <c r="N315" s="8">
        <f t="shared" si="9"/>
        <v>176.79999999999927</v>
      </c>
      <c r="O315">
        <v>0</v>
      </c>
      <c r="P315" s="4">
        <v>0</v>
      </c>
      <c r="Q315" s="4">
        <v>18796.3</v>
      </c>
      <c r="R315">
        <f t="shared" si="10"/>
        <v>0.22961038961038865</v>
      </c>
    </row>
    <row r="316" spans="1:18">
      <c r="A316" s="2">
        <v>45758</v>
      </c>
      <c r="B316" s="4">
        <v>28.61</v>
      </c>
      <c r="C316" s="4">
        <v>20.81</v>
      </c>
      <c r="D316" s="4">
        <v>82.377499999999998</v>
      </c>
      <c r="E316" s="4">
        <v>942.95833333333337</v>
      </c>
      <c r="F316" s="4">
        <v>0.90416666666666667</v>
      </c>
      <c r="G316" s="4">
        <v>23.142499999999998</v>
      </c>
      <c r="H316" s="4">
        <v>24.47208333333333</v>
      </c>
      <c r="I316" s="4">
        <v>32.849166666666669</v>
      </c>
      <c r="J316" s="4">
        <v>0.15</v>
      </c>
      <c r="K316" s="6">
        <v>0</v>
      </c>
      <c r="L316" s="4">
        <v>0</v>
      </c>
      <c r="M316" s="4">
        <v>1312.5</v>
      </c>
      <c r="N316" s="8">
        <f t="shared" si="9"/>
        <v>100.29999999999927</v>
      </c>
      <c r="O316">
        <v>0</v>
      </c>
      <c r="P316" s="4">
        <v>0</v>
      </c>
      <c r="Q316" s="4">
        <v>18896.599999999999</v>
      </c>
      <c r="R316">
        <f t="shared" si="10"/>
        <v>0.13025974025973933</v>
      </c>
    </row>
    <row r="317" spans="1:18">
      <c r="A317" s="2">
        <v>45759</v>
      </c>
      <c r="B317" s="4">
        <v>29.3</v>
      </c>
      <c r="C317" s="4">
        <v>20.260000000000002</v>
      </c>
      <c r="D317" s="4">
        <v>78.252499999999998</v>
      </c>
      <c r="E317" s="4">
        <v>723.25</v>
      </c>
      <c r="F317" s="4">
        <v>2.6620833333333329</v>
      </c>
      <c r="G317" s="4">
        <v>21.27416666666667</v>
      </c>
      <c r="H317" s="4">
        <v>25.44166666666667</v>
      </c>
      <c r="I317" s="4">
        <v>29.43</v>
      </c>
      <c r="J317" s="4">
        <v>0.12308333333333329</v>
      </c>
      <c r="K317" s="6">
        <v>19.5</v>
      </c>
      <c r="L317" s="4">
        <v>0</v>
      </c>
      <c r="M317" s="4">
        <v>1850.4</v>
      </c>
      <c r="N317" s="8">
        <f t="shared" si="9"/>
        <v>0</v>
      </c>
      <c r="O317">
        <v>0</v>
      </c>
      <c r="P317" s="4">
        <v>0</v>
      </c>
      <c r="Q317" s="4">
        <v>18896.599999999999</v>
      </c>
      <c r="R317">
        <f t="shared" si="10"/>
        <v>0</v>
      </c>
    </row>
    <row r="318" spans="1:18">
      <c r="A318" s="2">
        <v>45760</v>
      </c>
      <c r="B318" s="4">
        <v>20.92</v>
      </c>
      <c r="C318" s="4">
        <v>17.47</v>
      </c>
      <c r="D318" s="4">
        <v>74.814583333333331</v>
      </c>
      <c r="E318" s="4">
        <v>198.875</v>
      </c>
      <c r="F318" s="4">
        <v>3.8295833333333329</v>
      </c>
      <c r="G318" s="4">
        <v>6.333333333333333</v>
      </c>
      <c r="H318" s="4">
        <v>21.802083333333329</v>
      </c>
      <c r="I318" s="4">
        <v>35.324166666666663</v>
      </c>
      <c r="J318" s="4">
        <v>0.14533333333333329</v>
      </c>
      <c r="K318" s="6">
        <v>21</v>
      </c>
      <c r="L318" s="4">
        <v>0</v>
      </c>
      <c r="M318" s="4">
        <v>1546.7</v>
      </c>
      <c r="N318" s="8">
        <f t="shared" si="9"/>
        <v>177.90000000000146</v>
      </c>
      <c r="O318">
        <v>0</v>
      </c>
      <c r="P318" s="4">
        <v>0</v>
      </c>
      <c r="Q318" s="4">
        <v>19074.5</v>
      </c>
      <c r="R318">
        <f t="shared" si="10"/>
        <v>0.23103896103896293</v>
      </c>
    </row>
    <row r="319" spans="1:18">
      <c r="A319" s="2">
        <v>45761</v>
      </c>
      <c r="B319" s="4">
        <v>27.07</v>
      </c>
      <c r="C319" s="4">
        <v>16.63</v>
      </c>
      <c r="D319" s="4">
        <v>74.053333333333327</v>
      </c>
      <c r="E319" s="4">
        <v>592.25</v>
      </c>
      <c r="F319" s="4">
        <v>1.0216666666666669</v>
      </c>
      <c r="G319" s="4">
        <v>19.79291666666667</v>
      </c>
      <c r="H319" s="4">
        <v>24.189166666666669</v>
      </c>
      <c r="I319" s="4">
        <v>35.202500000000001</v>
      </c>
      <c r="J319" s="4">
        <v>0.16425000000000001</v>
      </c>
      <c r="K319" s="6">
        <v>0</v>
      </c>
      <c r="L319" s="4">
        <v>0</v>
      </c>
      <c r="M319" s="4">
        <v>0</v>
      </c>
      <c r="N319" s="8">
        <f t="shared" si="9"/>
        <v>0</v>
      </c>
      <c r="O319">
        <v>0</v>
      </c>
      <c r="P319" s="4">
        <v>0</v>
      </c>
      <c r="Q319" s="4">
        <v>19074.5</v>
      </c>
      <c r="R319">
        <f t="shared" si="10"/>
        <v>0</v>
      </c>
    </row>
    <row r="320" spans="1:18">
      <c r="A320" s="2">
        <v>45762</v>
      </c>
      <c r="B320" s="4">
        <v>27.47</v>
      </c>
      <c r="C320" s="4">
        <v>14.95</v>
      </c>
      <c r="D320" s="4">
        <v>76.69</v>
      </c>
      <c r="E320" s="4">
        <v>577.58333333333337</v>
      </c>
      <c r="F320" s="4">
        <v>2.31</v>
      </c>
      <c r="G320" s="4">
        <v>11.824999999999999</v>
      </c>
      <c r="H320" s="4">
        <v>22.895833333333329</v>
      </c>
      <c r="I320" s="4">
        <v>29.7225</v>
      </c>
      <c r="J320" s="4">
        <v>0.12775</v>
      </c>
      <c r="K320" s="6">
        <v>0</v>
      </c>
      <c r="L320" s="4">
        <v>0</v>
      </c>
      <c r="M320" s="4">
        <v>0</v>
      </c>
      <c r="N320" s="8">
        <f t="shared" si="9"/>
        <v>0</v>
      </c>
      <c r="O320">
        <v>0</v>
      </c>
      <c r="P320" s="4">
        <v>0</v>
      </c>
      <c r="Q320" s="4">
        <v>19074.5</v>
      </c>
      <c r="R320">
        <f t="shared" si="10"/>
        <v>0</v>
      </c>
    </row>
    <row r="321" spans="1:18">
      <c r="A321" s="2">
        <v>45763</v>
      </c>
      <c r="B321" s="4">
        <v>27.91</v>
      </c>
      <c r="C321" s="4">
        <v>16.04</v>
      </c>
      <c r="D321" s="4">
        <v>80.976666666666674</v>
      </c>
      <c r="E321" s="4">
        <v>592.41666666666663</v>
      </c>
      <c r="F321" s="4">
        <v>1.1475</v>
      </c>
      <c r="G321" s="4">
        <v>18.37875</v>
      </c>
      <c r="H321" s="4">
        <v>23.452500000000001</v>
      </c>
      <c r="I321" s="4">
        <v>31.81583333333333</v>
      </c>
      <c r="J321" s="4">
        <v>0.139125</v>
      </c>
      <c r="K321" s="6">
        <v>0</v>
      </c>
      <c r="L321" s="4">
        <v>0</v>
      </c>
      <c r="M321" s="4">
        <v>1106.7</v>
      </c>
      <c r="N321" s="8">
        <f t="shared" si="9"/>
        <v>671.29999999999927</v>
      </c>
      <c r="O321">
        <v>0</v>
      </c>
      <c r="P321" s="4">
        <v>0</v>
      </c>
      <c r="Q321" s="4">
        <v>19745.8</v>
      </c>
      <c r="R321">
        <f t="shared" si="10"/>
        <v>0.87181818181818083</v>
      </c>
    </row>
    <row r="322" spans="1:18">
      <c r="A322" s="2">
        <v>45764</v>
      </c>
      <c r="B322" s="4">
        <v>30.66</v>
      </c>
      <c r="C322" s="4">
        <v>19.12</v>
      </c>
      <c r="D322" s="4">
        <v>83.220833333333331</v>
      </c>
      <c r="E322" s="4">
        <v>550.33333333333337</v>
      </c>
      <c r="F322" s="4">
        <v>1.4412499999999999</v>
      </c>
      <c r="G322" s="4">
        <v>18.790416666666669</v>
      </c>
      <c r="H322" s="4">
        <v>24.10125</v>
      </c>
      <c r="I322" s="4">
        <v>34.560833333333328</v>
      </c>
      <c r="J322" s="4">
        <v>0.167875</v>
      </c>
      <c r="K322" s="6">
        <v>0</v>
      </c>
      <c r="L322" s="4">
        <v>0</v>
      </c>
      <c r="M322" s="4">
        <v>552</v>
      </c>
      <c r="N322" s="8">
        <f t="shared" ref="N322:N327" si="11">Q322-Q321</f>
        <v>331.90000000000146</v>
      </c>
      <c r="O322">
        <v>0</v>
      </c>
      <c r="P322" s="4">
        <v>0</v>
      </c>
      <c r="Q322" s="4">
        <v>20077.7</v>
      </c>
      <c r="R322">
        <f t="shared" si="10"/>
        <v>0.43103896103896294</v>
      </c>
    </row>
    <row r="323" spans="1:18">
      <c r="A323" s="2">
        <v>45765</v>
      </c>
      <c r="B323" s="4">
        <v>30.22</v>
      </c>
      <c r="C323" s="4">
        <v>22.93</v>
      </c>
      <c r="D323" s="4">
        <v>85.829166666666666</v>
      </c>
      <c r="E323" s="4">
        <v>479.66666666666669</v>
      </c>
      <c r="F323" s="4">
        <v>1.6537500000000001</v>
      </c>
      <c r="G323" s="4">
        <v>20.209166666666661</v>
      </c>
      <c r="H323" s="4">
        <v>25.868333333333339</v>
      </c>
      <c r="I323" s="4">
        <v>34.473750000000003</v>
      </c>
      <c r="J323" s="4">
        <v>0.17837500000000001</v>
      </c>
      <c r="K323" s="6">
        <v>0</v>
      </c>
      <c r="L323" s="4">
        <v>0</v>
      </c>
      <c r="M323" s="4">
        <v>549.70000000000005</v>
      </c>
      <c r="N323" s="8">
        <f t="shared" si="11"/>
        <v>331.29999999999927</v>
      </c>
      <c r="O323">
        <v>0</v>
      </c>
      <c r="P323" s="4">
        <v>0</v>
      </c>
      <c r="Q323" s="4">
        <v>20409</v>
      </c>
      <c r="R323">
        <f t="shared" ref="R323:R386" si="12">N323/770</f>
        <v>0.43025974025973929</v>
      </c>
    </row>
    <row r="324" spans="1:18">
      <c r="A324" s="2">
        <v>45766</v>
      </c>
      <c r="B324" s="4">
        <v>30.07</v>
      </c>
      <c r="C324" s="4">
        <v>23.92</v>
      </c>
      <c r="D324" s="4">
        <v>90.967916666666667</v>
      </c>
      <c r="E324" s="4">
        <v>295.875</v>
      </c>
      <c r="F324" s="4">
        <v>1.6279166666666669</v>
      </c>
      <c r="G324" s="4">
        <v>20.17583333333333</v>
      </c>
      <c r="H324" s="4">
        <v>25.854166666666671</v>
      </c>
      <c r="I324" s="4">
        <v>34.488333333333337</v>
      </c>
      <c r="J324" s="4">
        <v>0.18383333333333329</v>
      </c>
      <c r="K324" s="6">
        <v>0</v>
      </c>
      <c r="L324" s="4">
        <v>0</v>
      </c>
      <c r="M324" s="4">
        <v>551</v>
      </c>
      <c r="N324" s="8">
        <f t="shared" si="11"/>
        <v>331.29999999999927</v>
      </c>
      <c r="O324">
        <v>0</v>
      </c>
      <c r="P324" s="4">
        <v>0</v>
      </c>
      <c r="Q324" s="4">
        <v>20740.3</v>
      </c>
      <c r="R324">
        <f t="shared" si="12"/>
        <v>0.43025974025973929</v>
      </c>
    </row>
    <row r="325" spans="1:18">
      <c r="A325" s="2">
        <v>45767</v>
      </c>
      <c r="B325" s="4">
        <v>30.95</v>
      </c>
      <c r="C325" s="4">
        <v>23.7</v>
      </c>
      <c r="D325" s="4">
        <v>90.359583333333333</v>
      </c>
      <c r="E325" s="4">
        <v>381.70833333333331</v>
      </c>
      <c r="F325" s="4">
        <v>1.3366666666666669</v>
      </c>
      <c r="G325" s="4">
        <v>20.504999999999999</v>
      </c>
      <c r="H325" s="4">
        <v>25.89458333333333</v>
      </c>
      <c r="I325" s="4">
        <v>34.50416666666667</v>
      </c>
      <c r="J325" s="4">
        <v>0.18608333333333341</v>
      </c>
      <c r="K325" s="6">
        <v>0</v>
      </c>
      <c r="L325" s="4">
        <v>0</v>
      </c>
      <c r="M325" s="4">
        <v>551</v>
      </c>
      <c r="N325" s="8">
        <f t="shared" si="11"/>
        <v>332.40000000000146</v>
      </c>
      <c r="O325">
        <v>0</v>
      </c>
      <c r="P325" s="4">
        <v>0</v>
      </c>
      <c r="Q325" s="4">
        <v>21072.7</v>
      </c>
      <c r="R325">
        <f t="shared" si="12"/>
        <v>0.43168831168831356</v>
      </c>
    </row>
    <row r="326" spans="1:18">
      <c r="A326" s="2">
        <v>45768</v>
      </c>
      <c r="B326" s="4">
        <v>31.72</v>
      </c>
      <c r="C326" s="4">
        <v>23.55</v>
      </c>
      <c r="D326" s="4">
        <v>86.057500000000005</v>
      </c>
      <c r="E326" s="4">
        <v>570.95833333333337</v>
      </c>
      <c r="F326" s="4">
        <v>1.24</v>
      </c>
      <c r="G326" s="4">
        <v>21.436250000000001</v>
      </c>
      <c r="H326" s="4">
        <v>25.549166666666661</v>
      </c>
      <c r="I326" s="4">
        <v>34.3675</v>
      </c>
      <c r="J326" s="4">
        <v>0.18099999999999999</v>
      </c>
      <c r="K326" s="6">
        <v>0</v>
      </c>
      <c r="L326" s="4">
        <v>0</v>
      </c>
      <c r="M326" s="4">
        <v>545.1</v>
      </c>
      <c r="N326" s="8">
        <f t="shared" si="11"/>
        <v>327.39999999999782</v>
      </c>
      <c r="O326">
        <v>0</v>
      </c>
      <c r="P326" s="4">
        <v>0</v>
      </c>
      <c r="Q326" s="4">
        <v>21400.1</v>
      </c>
      <c r="R326">
        <f t="shared" si="12"/>
        <v>0.42519480519480235</v>
      </c>
    </row>
    <row r="327" spans="1:18">
      <c r="A327" s="2">
        <v>45769</v>
      </c>
      <c r="B327" s="4">
        <v>30.62</v>
      </c>
      <c r="C327" s="4">
        <v>22.49</v>
      </c>
      <c r="D327" s="4">
        <v>87.22208333333333</v>
      </c>
      <c r="E327" s="4">
        <v>597.5</v>
      </c>
      <c r="F327" s="4">
        <v>1.8395833333333329</v>
      </c>
      <c r="G327" s="4">
        <v>20.9025</v>
      </c>
      <c r="H327" s="4">
        <v>27.247083333333329</v>
      </c>
      <c r="I327" s="4">
        <v>32.227083333333333</v>
      </c>
      <c r="J327" s="4">
        <v>0.144375</v>
      </c>
      <c r="K327" s="6">
        <v>0</v>
      </c>
      <c r="L327" s="4">
        <v>0</v>
      </c>
      <c r="M327" s="4">
        <v>0</v>
      </c>
      <c r="N327" s="8">
        <f t="shared" si="11"/>
        <v>0</v>
      </c>
      <c r="O327">
        <v>0</v>
      </c>
      <c r="P327" s="4">
        <v>0</v>
      </c>
      <c r="Q327" s="4">
        <v>21400.1</v>
      </c>
      <c r="R327">
        <f t="shared" si="12"/>
        <v>0</v>
      </c>
    </row>
    <row r="328" spans="1:18">
      <c r="A328" s="2">
        <v>45770</v>
      </c>
      <c r="B328" s="4">
        <v>31.17</v>
      </c>
      <c r="C328" s="4">
        <v>23.44</v>
      </c>
      <c r="D328" s="4">
        <v>88.427500000000009</v>
      </c>
      <c r="E328" s="4">
        <v>393.45833333333331</v>
      </c>
      <c r="F328" s="4">
        <v>1.99</v>
      </c>
      <c r="G328" s="4">
        <v>21.213333333333331</v>
      </c>
      <c r="H328" s="4">
        <v>26.168333333333329</v>
      </c>
      <c r="I328" s="4">
        <v>31.447500000000002</v>
      </c>
      <c r="J328" s="4">
        <v>0.143875</v>
      </c>
      <c r="K328" s="6">
        <v>0</v>
      </c>
      <c r="L328" s="4">
        <v>0</v>
      </c>
      <c r="M328" s="4">
        <v>546.20000000000005</v>
      </c>
      <c r="N328" s="8">
        <f>Q328-Q327</f>
        <v>329.70000000000073</v>
      </c>
      <c r="O328">
        <v>0</v>
      </c>
      <c r="P328" s="4">
        <v>0</v>
      </c>
      <c r="Q328" s="4">
        <v>21729.8</v>
      </c>
      <c r="R328">
        <f t="shared" si="12"/>
        <v>0.42818181818181911</v>
      </c>
    </row>
    <row r="329" spans="1:18">
      <c r="A329" s="2">
        <v>45771</v>
      </c>
      <c r="B329" s="4">
        <v>30.29</v>
      </c>
      <c r="C329" s="4">
        <v>24.1</v>
      </c>
      <c r="D329" s="4">
        <v>89.332916666666662</v>
      </c>
      <c r="E329" s="4">
        <v>379.95833333333331</v>
      </c>
      <c r="F329" s="4">
        <v>1.794583333333333</v>
      </c>
      <c r="G329" s="4">
        <v>20.021249999999998</v>
      </c>
      <c r="H329" s="4">
        <v>27.147083333333331</v>
      </c>
      <c r="I329" s="4">
        <v>30.51</v>
      </c>
      <c r="J329" s="4">
        <v>0.13508333333333331</v>
      </c>
      <c r="K329" s="6">
        <v>0</v>
      </c>
      <c r="L329" s="4">
        <v>0</v>
      </c>
      <c r="M329" s="4">
        <v>0</v>
      </c>
      <c r="N329" s="8">
        <f t="shared" ref="N329:N340" si="13">Q329-Q328</f>
        <v>0</v>
      </c>
      <c r="O329">
        <v>0</v>
      </c>
      <c r="P329" s="4">
        <v>0</v>
      </c>
      <c r="Q329" s="4">
        <v>21729.8</v>
      </c>
      <c r="R329">
        <f t="shared" si="12"/>
        <v>0</v>
      </c>
    </row>
    <row r="330" spans="1:18">
      <c r="A330" s="2">
        <v>45772</v>
      </c>
      <c r="B330" s="4">
        <v>27</v>
      </c>
      <c r="C330" s="4">
        <v>20.92</v>
      </c>
      <c r="D330" s="4">
        <v>90.150416666666672</v>
      </c>
      <c r="E330" s="4">
        <v>329.20833333333331</v>
      </c>
      <c r="F330" s="4">
        <v>2.7075</v>
      </c>
      <c r="G330" s="4">
        <v>14.553333333333329</v>
      </c>
      <c r="H330" s="4">
        <v>25.536249999999999</v>
      </c>
      <c r="I330" s="4">
        <v>24.745000000000001</v>
      </c>
      <c r="J330" s="4">
        <v>8.8500000000000009E-2</v>
      </c>
      <c r="K330" s="6">
        <v>0</v>
      </c>
      <c r="L330" s="4">
        <v>0</v>
      </c>
      <c r="M330" s="4">
        <v>0</v>
      </c>
      <c r="N330" s="8">
        <f t="shared" si="13"/>
        <v>0</v>
      </c>
      <c r="O330">
        <v>0</v>
      </c>
      <c r="P330" s="4">
        <v>0</v>
      </c>
      <c r="Q330" s="4">
        <v>21729.8</v>
      </c>
      <c r="R330">
        <f t="shared" si="12"/>
        <v>0</v>
      </c>
    </row>
    <row r="331" spans="1:18">
      <c r="A331" s="2">
        <v>45773</v>
      </c>
      <c r="B331" s="4">
        <v>25.16</v>
      </c>
      <c r="C331" s="4">
        <v>20.04</v>
      </c>
      <c r="D331" s="4">
        <v>91.478749999999991</v>
      </c>
      <c r="E331" s="4">
        <v>175.58333333333329</v>
      </c>
      <c r="F331" s="4">
        <v>2.2616666666666672</v>
      </c>
      <c r="G331" s="4">
        <v>7.742916666666666</v>
      </c>
      <c r="H331" s="4">
        <v>23.749166666666671</v>
      </c>
      <c r="I331" s="4">
        <v>22.59708333333333</v>
      </c>
      <c r="J331" s="4">
        <v>6.4250000000000002E-2</v>
      </c>
      <c r="K331" s="6">
        <v>0</v>
      </c>
      <c r="L331" s="4">
        <v>0</v>
      </c>
      <c r="M331" s="4">
        <v>0</v>
      </c>
      <c r="N331" s="8">
        <f t="shared" si="13"/>
        <v>0</v>
      </c>
      <c r="O331">
        <v>0</v>
      </c>
      <c r="P331" s="4">
        <v>0</v>
      </c>
      <c r="Q331" s="4">
        <v>21729.8</v>
      </c>
      <c r="R331">
        <f t="shared" si="12"/>
        <v>0</v>
      </c>
    </row>
    <row r="332" spans="1:18">
      <c r="A332" s="2">
        <v>45774</v>
      </c>
      <c r="B332" s="4">
        <v>28.17</v>
      </c>
      <c r="C332" s="4">
        <v>20.81</v>
      </c>
      <c r="D332" s="4">
        <v>90.302916666666661</v>
      </c>
      <c r="E332" s="4">
        <v>568.41666666666663</v>
      </c>
      <c r="F332" s="4">
        <v>1.489166666666667</v>
      </c>
      <c r="G332" s="4">
        <v>11.928750000000001</v>
      </c>
      <c r="H332" s="4">
        <v>25.87</v>
      </c>
      <c r="I332" s="4">
        <v>20.768333333333331</v>
      </c>
      <c r="J332" s="4">
        <v>5.6833333333333333E-2</v>
      </c>
      <c r="K332" s="6">
        <v>0</v>
      </c>
      <c r="L332" s="4">
        <v>0</v>
      </c>
      <c r="M332" s="4">
        <v>0</v>
      </c>
      <c r="N332" s="8">
        <f t="shared" si="13"/>
        <v>0</v>
      </c>
      <c r="O332">
        <v>0</v>
      </c>
      <c r="P332" s="4">
        <v>0</v>
      </c>
      <c r="Q332" s="4">
        <v>21729.8</v>
      </c>
      <c r="R332">
        <f t="shared" si="12"/>
        <v>0</v>
      </c>
    </row>
    <row r="333" spans="1:18">
      <c r="A333" s="2">
        <v>45775</v>
      </c>
      <c r="B333" s="4">
        <v>26.85</v>
      </c>
      <c r="C333" s="4">
        <v>20.149999999999999</v>
      </c>
      <c r="D333" s="4">
        <v>92.588333333333324</v>
      </c>
      <c r="E333" s="4">
        <v>194.66666666666671</v>
      </c>
      <c r="F333" s="4">
        <v>1.679166666666666</v>
      </c>
      <c r="G333" s="4">
        <v>17.885833333333331</v>
      </c>
      <c r="H333" s="4">
        <v>25.22</v>
      </c>
      <c r="I333" s="4">
        <v>20.302916666666661</v>
      </c>
      <c r="J333" s="4">
        <v>6.4375000000000002E-2</v>
      </c>
      <c r="K333" s="6">
        <v>7</v>
      </c>
      <c r="L333" s="4">
        <v>0</v>
      </c>
      <c r="M333" s="4">
        <v>0</v>
      </c>
      <c r="N333" s="8">
        <f t="shared" si="13"/>
        <v>0</v>
      </c>
      <c r="O333">
        <v>0</v>
      </c>
      <c r="P333" s="4">
        <v>0</v>
      </c>
      <c r="Q333" s="4">
        <v>21729.8</v>
      </c>
      <c r="R333">
        <f t="shared" si="12"/>
        <v>0</v>
      </c>
    </row>
    <row r="334" spans="1:18">
      <c r="A334" s="2">
        <v>45776</v>
      </c>
      <c r="B334" s="4">
        <v>29.71</v>
      </c>
      <c r="C334" s="4">
        <v>19.12</v>
      </c>
      <c r="D334" s="4">
        <v>77.266249999999999</v>
      </c>
      <c r="E334" s="4">
        <v>530.375</v>
      </c>
      <c r="F334" s="4">
        <v>1.6366666666666669</v>
      </c>
      <c r="G334" s="4">
        <v>13.01375</v>
      </c>
      <c r="H334" s="4">
        <v>25.410833333333329</v>
      </c>
      <c r="I334" s="4">
        <v>18.740416666666661</v>
      </c>
      <c r="J334" s="4">
        <v>5.9958333333333343E-2</v>
      </c>
      <c r="K334" s="6">
        <v>0</v>
      </c>
      <c r="L334" s="4">
        <v>0</v>
      </c>
      <c r="M334" s="4">
        <v>0</v>
      </c>
      <c r="N334" s="8">
        <f t="shared" si="13"/>
        <v>0</v>
      </c>
      <c r="O334">
        <v>0</v>
      </c>
      <c r="P334" s="4">
        <v>0</v>
      </c>
      <c r="Q334" s="4">
        <v>21729.8</v>
      </c>
      <c r="R334">
        <f t="shared" si="12"/>
        <v>0</v>
      </c>
    </row>
    <row r="335" spans="1:18">
      <c r="A335" s="2">
        <v>45777</v>
      </c>
      <c r="B335" s="4">
        <v>29.12</v>
      </c>
      <c r="C335" s="4">
        <v>20.66</v>
      </c>
      <c r="D335" s="4">
        <v>84.185000000000002</v>
      </c>
      <c r="E335" s="4">
        <v>534.41666666666663</v>
      </c>
      <c r="F335" s="4">
        <v>1.1487499999999999</v>
      </c>
      <c r="G335" s="4">
        <v>22.486249999999998</v>
      </c>
      <c r="H335" s="4">
        <v>26.089166666666671</v>
      </c>
      <c r="I335" s="4">
        <v>17.14875</v>
      </c>
      <c r="J335" s="4">
        <v>5.1499999999999997E-2</v>
      </c>
      <c r="K335" s="6">
        <v>0</v>
      </c>
      <c r="L335" s="4">
        <v>0</v>
      </c>
      <c r="M335" s="4">
        <v>0</v>
      </c>
      <c r="N335" s="8">
        <f t="shared" si="13"/>
        <v>0</v>
      </c>
      <c r="O335">
        <v>0</v>
      </c>
      <c r="P335" s="4">
        <v>0</v>
      </c>
      <c r="Q335" s="4">
        <v>21729.8</v>
      </c>
      <c r="R335">
        <f t="shared" si="12"/>
        <v>0</v>
      </c>
    </row>
    <row r="336" spans="1:18">
      <c r="A336" s="2">
        <v>45778</v>
      </c>
      <c r="B336" s="4">
        <v>29.12</v>
      </c>
      <c r="C336" s="4">
        <v>21.06</v>
      </c>
      <c r="D336" s="4">
        <v>83.07083333333334</v>
      </c>
      <c r="E336" s="4">
        <v>361</v>
      </c>
      <c r="F336" s="4">
        <v>0.90249999999999997</v>
      </c>
      <c r="G336" s="4">
        <v>17.635833333333331</v>
      </c>
      <c r="H336" s="4">
        <v>25.669166666666669</v>
      </c>
      <c r="I336" s="4">
        <v>16.16333333333333</v>
      </c>
      <c r="J336" s="4">
        <v>4.4541666666666667E-2</v>
      </c>
      <c r="K336" s="6">
        <v>0</v>
      </c>
      <c r="L336" s="4">
        <v>0</v>
      </c>
      <c r="M336" s="4">
        <v>0</v>
      </c>
      <c r="N336" s="8">
        <f t="shared" si="13"/>
        <v>0</v>
      </c>
      <c r="O336">
        <v>0</v>
      </c>
      <c r="P336" s="4">
        <v>0</v>
      </c>
      <c r="Q336" s="4">
        <v>21729.8</v>
      </c>
      <c r="R336">
        <f t="shared" si="12"/>
        <v>0</v>
      </c>
    </row>
    <row r="337" spans="1:18">
      <c r="A337" s="2">
        <v>45779</v>
      </c>
      <c r="B337" s="4">
        <v>29.52</v>
      </c>
      <c r="C337" s="4">
        <v>20.55</v>
      </c>
      <c r="D337" s="4">
        <v>85.537916666666661</v>
      </c>
      <c r="E337" s="4">
        <v>620.25</v>
      </c>
      <c r="F337" s="4">
        <v>1.4079166666666669</v>
      </c>
      <c r="G337" s="4">
        <v>18.326666666666661</v>
      </c>
      <c r="H337" s="4">
        <v>26.97</v>
      </c>
      <c r="I337" s="4">
        <v>15.287916666666669</v>
      </c>
      <c r="J337" s="4">
        <v>3.8416666666666668E-2</v>
      </c>
      <c r="K337" s="6">
        <v>0</v>
      </c>
      <c r="L337" s="4">
        <v>0</v>
      </c>
      <c r="M337" s="4">
        <v>0</v>
      </c>
      <c r="N337" s="8">
        <f t="shared" si="13"/>
        <v>0</v>
      </c>
      <c r="O337">
        <v>0</v>
      </c>
      <c r="P337" s="4">
        <v>0</v>
      </c>
      <c r="Q337" s="4">
        <v>21729.8</v>
      </c>
      <c r="R337">
        <f t="shared" si="12"/>
        <v>0</v>
      </c>
    </row>
    <row r="338" spans="1:18">
      <c r="A338" s="2">
        <v>45780</v>
      </c>
      <c r="B338" s="4">
        <v>30.44</v>
      </c>
      <c r="C338" s="4">
        <v>23.55</v>
      </c>
      <c r="D338" s="4">
        <v>83.982083333333335</v>
      </c>
      <c r="E338" s="4">
        <v>425</v>
      </c>
      <c r="F338" s="4">
        <v>1.571666666666667</v>
      </c>
      <c r="G338" s="4">
        <v>13.852083333333329</v>
      </c>
      <c r="H338" s="4">
        <v>27.875</v>
      </c>
      <c r="I338" s="4">
        <v>14.149583333333331</v>
      </c>
      <c r="J338" s="4">
        <v>3.2708333333333332E-2</v>
      </c>
      <c r="K338" s="6">
        <v>0</v>
      </c>
      <c r="L338" s="4">
        <v>0</v>
      </c>
      <c r="M338" s="4">
        <v>0</v>
      </c>
      <c r="N338" s="8">
        <f t="shared" si="13"/>
        <v>0</v>
      </c>
      <c r="O338">
        <v>0</v>
      </c>
      <c r="P338" s="4">
        <v>0</v>
      </c>
      <c r="Q338" s="4">
        <v>21729.8</v>
      </c>
      <c r="R338">
        <f t="shared" si="12"/>
        <v>0</v>
      </c>
    </row>
    <row r="339" spans="1:18">
      <c r="A339" s="2">
        <v>45781</v>
      </c>
      <c r="B339" s="4">
        <v>29.3</v>
      </c>
      <c r="C339" s="4">
        <v>23.44</v>
      </c>
      <c r="D339" s="4">
        <v>87.927500000000009</v>
      </c>
      <c r="E339" s="4">
        <v>544.66666666666663</v>
      </c>
      <c r="F339" s="4">
        <v>2.5454166666666671</v>
      </c>
      <c r="G339" s="4">
        <v>14.115</v>
      </c>
      <c r="H339" s="4">
        <v>28.146249999999998</v>
      </c>
      <c r="I339" s="4">
        <v>13.085416666666671</v>
      </c>
      <c r="J339" s="4">
        <v>2.8625000000000001E-2</v>
      </c>
      <c r="K339" s="6">
        <v>0</v>
      </c>
      <c r="L339" s="4">
        <v>0</v>
      </c>
      <c r="M339" s="4">
        <v>0</v>
      </c>
      <c r="N339" s="8">
        <f t="shared" si="13"/>
        <v>0</v>
      </c>
      <c r="O339">
        <v>0</v>
      </c>
      <c r="P339" s="4">
        <v>0</v>
      </c>
      <c r="Q339" s="4">
        <v>21729.8</v>
      </c>
      <c r="R339">
        <f t="shared" si="12"/>
        <v>0</v>
      </c>
    </row>
    <row r="340" spans="1:18">
      <c r="A340" s="2">
        <v>45782</v>
      </c>
      <c r="B340" s="4">
        <v>32.270000000000003</v>
      </c>
      <c r="C340" s="4">
        <v>24.21</v>
      </c>
      <c r="D340" s="4">
        <v>87.011666666666656</v>
      </c>
      <c r="E340" s="4">
        <v>576.20833333333337</v>
      </c>
      <c r="F340" s="4">
        <v>1.513333333333333</v>
      </c>
      <c r="G340" s="4">
        <v>21.169583333333328</v>
      </c>
      <c r="H340" s="4">
        <v>29.17</v>
      </c>
      <c r="I340" s="4">
        <v>11.80833333333333</v>
      </c>
      <c r="J340" s="4">
        <v>2.3916666666666669E-2</v>
      </c>
      <c r="K340" s="6">
        <v>0</v>
      </c>
      <c r="L340" s="4">
        <v>0</v>
      </c>
      <c r="M340" s="4">
        <v>0</v>
      </c>
      <c r="N340" s="8">
        <f t="shared" si="13"/>
        <v>0</v>
      </c>
      <c r="O340">
        <v>0</v>
      </c>
      <c r="P340" s="4">
        <v>0</v>
      </c>
      <c r="Q340" s="4">
        <v>21729.8</v>
      </c>
      <c r="R340">
        <f t="shared" si="12"/>
        <v>0</v>
      </c>
    </row>
    <row r="341" spans="1:18">
      <c r="A341" s="2">
        <v>45783</v>
      </c>
      <c r="B341" s="4">
        <v>31.87</v>
      </c>
      <c r="C341" s="4">
        <v>24.84</v>
      </c>
      <c r="D341" s="4">
        <v>84.287916666666675</v>
      </c>
      <c r="E341" s="4">
        <v>500.75</v>
      </c>
      <c r="F341" s="4">
        <v>1.7</v>
      </c>
      <c r="G341" s="4">
        <v>23.491250000000001</v>
      </c>
      <c r="H341" s="4">
        <v>28.502083333333331</v>
      </c>
      <c r="I341" s="4">
        <v>20.1875</v>
      </c>
      <c r="J341" s="4">
        <v>8.5625000000000007E-2</v>
      </c>
      <c r="K341" s="6">
        <v>0</v>
      </c>
      <c r="L341" s="4">
        <v>0</v>
      </c>
      <c r="M341" s="4">
        <v>690.2</v>
      </c>
      <c r="N341" s="8">
        <f>Q341-Q340</f>
        <v>342.70000000000073</v>
      </c>
      <c r="O341">
        <v>0</v>
      </c>
      <c r="P341" s="4">
        <v>0</v>
      </c>
      <c r="Q341" s="4">
        <v>22072.5</v>
      </c>
      <c r="R341">
        <f t="shared" si="12"/>
        <v>0.445064935064936</v>
      </c>
    </row>
    <row r="342" spans="1:18">
      <c r="A342" s="2">
        <v>45784</v>
      </c>
      <c r="B342" s="4">
        <v>31.61</v>
      </c>
      <c r="C342" s="4">
        <v>23.81</v>
      </c>
      <c r="D342" s="4">
        <v>87.836250000000007</v>
      </c>
      <c r="E342" s="4">
        <v>374</v>
      </c>
      <c r="F342" s="4">
        <v>2.000833333333333</v>
      </c>
      <c r="G342" s="4">
        <v>13.766666666666669</v>
      </c>
      <c r="H342" s="4">
        <v>26.193333333333332</v>
      </c>
      <c r="I342" s="4">
        <v>32.561250000000001</v>
      </c>
      <c r="J342" s="4">
        <v>0.15625</v>
      </c>
      <c r="K342" s="6">
        <v>0</v>
      </c>
      <c r="L342" s="4">
        <v>0</v>
      </c>
      <c r="M342" s="4">
        <v>1074</v>
      </c>
      <c r="N342" s="8">
        <f>Q342-Q341</f>
        <v>342.79999999999927</v>
      </c>
      <c r="O342">
        <v>0</v>
      </c>
      <c r="P342" s="4">
        <v>0</v>
      </c>
      <c r="Q342" s="4">
        <v>22415.3</v>
      </c>
      <c r="R342">
        <f t="shared" si="12"/>
        <v>0.44519480519480426</v>
      </c>
    </row>
    <row r="343" spans="1:18">
      <c r="A343" s="2">
        <v>45785</v>
      </c>
      <c r="B343" s="4">
        <v>31.21</v>
      </c>
      <c r="C343" s="4">
        <v>23.7</v>
      </c>
      <c r="D343" s="4">
        <v>84.777499999999989</v>
      </c>
      <c r="E343" s="4">
        <v>608.83333333333337</v>
      </c>
      <c r="F343" s="4">
        <v>1.267916666666667</v>
      </c>
      <c r="G343" s="4">
        <v>18.27</v>
      </c>
      <c r="H343" s="4">
        <v>25.80416666666666</v>
      </c>
      <c r="I343" s="4">
        <v>29.813333333333329</v>
      </c>
      <c r="J343" s="4">
        <v>0.1159583333333333</v>
      </c>
      <c r="K343" s="6">
        <v>0</v>
      </c>
      <c r="L343" s="4">
        <v>0</v>
      </c>
      <c r="M343" s="4">
        <v>533.9</v>
      </c>
      <c r="N343" s="8">
        <f>Q343-Q342</f>
        <v>338.29999999999927</v>
      </c>
      <c r="O343">
        <v>0</v>
      </c>
      <c r="P343" s="4">
        <v>0</v>
      </c>
      <c r="Q343" s="4">
        <v>22753.599999999999</v>
      </c>
      <c r="R343">
        <f t="shared" si="12"/>
        <v>0.43935064935064838</v>
      </c>
    </row>
    <row r="344" spans="1:18">
      <c r="A344" s="2">
        <v>45786</v>
      </c>
      <c r="B344" s="4">
        <v>35.020000000000003</v>
      </c>
      <c r="C344" s="4">
        <v>24.62</v>
      </c>
      <c r="D344" s="4">
        <v>82.823333333333338</v>
      </c>
      <c r="E344" s="4">
        <v>470.79166666666669</v>
      </c>
      <c r="F344" s="4">
        <v>2.1183333333333341</v>
      </c>
      <c r="G344" s="4">
        <v>18.105833333333329</v>
      </c>
      <c r="H344" s="4">
        <v>26.087916666666668</v>
      </c>
      <c r="I344" s="4">
        <v>30.908750000000001</v>
      </c>
      <c r="J344" s="4">
        <v>0.12925</v>
      </c>
      <c r="K344" s="6">
        <v>0</v>
      </c>
      <c r="L344" s="4">
        <v>0</v>
      </c>
      <c r="M344" s="4">
        <v>532.79999999999995</v>
      </c>
      <c r="N344" s="8">
        <f t="shared" ref="N344:N407" si="14">Q344-Q343</f>
        <v>337.60000000000218</v>
      </c>
      <c r="O344">
        <v>3.2</v>
      </c>
      <c r="P344" s="4">
        <v>0</v>
      </c>
      <c r="Q344" s="4">
        <v>23091.200000000001</v>
      </c>
      <c r="R344">
        <f t="shared" si="12"/>
        <v>0.4384415584415613</v>
      </c>
    </row>
    <row r="345" spans="1:18">
      <c r="A345" s="2">
        <v>45787</v>
      </c>
      <c r="B345" s="4">
        <v>29.52</v>
      </c>
      <c r="C345" s="4">
        <v>23.66</v>
      </c>
      <c r="D345" s="4">
        <v>91.028333333333322</v>
      </c>
      <c r="E345" s="4">
        <v>308.54166666666669</v>
      </c>
      <c r="F345" s="4">
        <v>1.105833333333333</v>
      </c>
      <c r="G345" s="4">
        <v>19.341666666666669</v>
      </c>
      <c r="H345" s="4">
        <v>27.05125</v>
      </c>
      <c r="I345" s="4">
        <v>29.669583333333339</v>
      </c>
      <c r="J345" s="4">
        <v>0.12612499999999999</v>
      </c>
      <c r="K345" s="6">
        <v>18.5</v>
      </c>
      <c r="L345" s="4">
        <v>0</v>
      </c>
      <c r="M345" s="4">
        <v>0</v>
      </c>
      <c r="N345" s="8">
        <f t="shared" si="14"/>
        <v>0</v>
      </c>
      <c r="O345">
        <v>0</v>
      </c>
      <c r="P345" s="4">
        <v>0</v>
      </c>
      <c r="Q345" s="4">
        <v>23091.200000000001</v>
      </c>
      <c r="R345">
        <f t="shared" si="12"/>
        <v>0</v>
      </c>
    </row>
    <row r="346" spans="1:18">
      <c r="A346" s="2">
        <v>45788</v>
      </c>
      <c r="B346" s="4">
        <v>24.62</v>
      </c>
      <c r="C346" s="4">
        <v>19.89</v>
      </c>
      <c r="D346" s="4">
        <v>94.03458333333333</v>
      </c>
      <c r="E346" s="4">
        <v>103.1666666666667</v>
      </c>
      <c r="F346" s="4">
        <v>2.6704166666666671</v>
      </c>
      <c r="G346" s="4">
        <v>5.1804166666666669</v>
      </c>
      <c r="H346" s="4">
        <v>24.173333333333328</v>
      </c>
      <c r="I346" s="4">
        <v>30.056249999999999</v>
      </c>
      <c r="J346" s="4">
        <v>0.104875</v>
      </c>
      <c r="K346" s="6">
        <v>25.5</v>
      </c>
      <c r="L346" s="4">
        <v>0</v>
      </c>
      <c r="M346" s="4">
        <v>0</v>
      </c>
      <c r="N346" s="8">
        <f t="shared" si="14"/>
        <v>0</v>
      </c>
      <c r="O346">
        <v>0</v>
      </c>
      <c r="P346" s="4">
        <v>0</v>
      </c>
      <c r="Q346" s="4">
        <v>23091.200000000001</v>
      </c>
      <c r="R346">
        <f t="shared" si="12"/>
        <v>0</v>
      </c>
    </row>
    <row r="347" spans="1:18">
      <c r="A347" s="2">
        <v>45789</v>
      </c>
      <c r="B347" s="4">
        <v>28.32</v>
      </c>
      <c r="C347" s="4">
        <v>20</v>
      </c>
      <c r="D347" s="4">
        <v>84.833333333333329</v>
      </c>
      <c r="E347" s="4">
        <v>289</v>
      </c>
      <c r="F347" s="4">
        <v>0.47583333333333327</v>
      </c>
      <c r="G347" s="4">
        <v>14.22458333333333</v>
      </c>
      <c r="H347" s="4">
        <v>24.45333333333333</v>
      </c>
      <c r="I347" s="4">
        <v>25.09333333333333</v>
      </c>
      <c r="J347" s="4">
        <v>6.4708333333333326E-2</v>
      </c>
      <c r="K347" s="6">
        <v>0</v>
      </c>
      <c r="L347" s="4">
        <v>0</v>
      </c>
      <c r="M347" s="4">
        <v>0</v>
      </c>
      <c r="N347" s="8">
        <f t="shared" si="14"/>
        <v>0</v>
      </c>
      <c r="O347">
        <v>0</v>
      </c>
      <c r="P347" s="4">
        <v>0</v>
      </c>
      <c r="Q347" s="4">
        <v>23091.200000000001</v>
      </c>
      <c r="R347">
        <f t="shared" si="12"/>
        <v>0</v>
      </c>
    </row>
    <row r="348" spans="1:18">
      <c r="A348" s="2">
        <v>45790</v>
      </c>
      <c r="B348" s="4">
        <v>30.73</v>
      </c>
      <c r="C348" s="4">
        <v>20.7</v>
      </c>
      <c r="D348" s="4">
        <v>82.827083333333334</v>
      </c>
      <c r="E348" s="4">
        <v>651.625</v>
      </c>
      <c r="F348" s="4">
        <v>1.152916666666667</v>
      </c>
      <c r="G348" s="4">
        <v>14.342499999999999</v>
      </c>
      <c r="H348" s="4">
        <v>25.866250000000001</v>
      </c>
      <c r="I348" s="4">
        <v>21.944166666666661</v>
      </c>
      <c r="J348" s="4">
        <v>4.8875000000000002E-2</v>
      </c>
      <c r="K348" s="6">
        <v>0</v>
      </c>
      <c r="L348" s="4">
        <v>0</v>
      </c>
      <c r="M348" s="4">
        <v>0</v>
      </c>
      <c r="N348" s="8">
        <f t="shared" si="14"/>
        <v>0</v>
      </c>
      <c r="O348">
        <v>0</v>
      </c>
      <c r="P348" s="4">
        <v>0</v>
      </c>
      <c r="Q348" s="4">
        <v>23091.200000000001</v>
      </c>
      <c r="R348">
        <f t="shared" si="12"/>
        <v>0</v>
      </c>
    </row>
    <row r="349" spans="1:18">
      <c r="A349" s="2">
        <v>45791</v>
      </c>
      <c r="B349" s="4">
        <v>31.21</v>
      </c>
      <c r="C349" s="4">
        <v>20.399999999999999</v>
      </c>
      <c r="D349" s="4">
        <v>79.683333333333337</v>
      </c>
      <c r="E349" s="4">
        <v>651.20833333333337</v>
      </c>
      <c r="F349" s="4">
        <v>1.3362499999999999</v>
      </c>
      <c r="G349" s="4">
        <v>10.39916666666667</v>
      </c>
      <c r="H349" s="4">
        <v>26.405000000000001</v>
      </c>
      <c r="I349" s="4">
        <v>20.526250000000001</v>
      </c>
      <c r="J349" s="4">
        <v>4.2166666666666658E-2</v>
      </c>
      <c r="K349" s="6">
        <v>0</v>
      </c>
      <c r="L349" s="4">
        <v>0</v>
      </c>
      <c r="M349" s="4">
        <v>0</v>
      </c>
      <c r="N349" s="8">
        <f t="shared" si="14"/>
        <v>0</v>
      </c>
      <c r="O349">
        <v>0</v>
      </c>
      <c r="P349" s="4">
        <v>0</v>
      </c>
      <c r="Q349" s="4">
        <v>23091.200000000001</v>
      </c>
      <c r="R349">
        <f t="shared" si="12"/>
        <v>0</v>
      </c>
    </row>
    <row r="350" spans="1:18">
      <c r="A350" s="2">
        <v>45792</v>
      </c>
      <c r="B350" s="4">
        <v>30.95</v>
      </c>
      <c r="C350" s="4">
        <v>22.27</v>
      </c>
      <c r="D350" s="4">
        <v>80.508750000000006</v>
      </c>
      <c r="E350" s="4">
        <v>656.875</v>
      </c>
      <c r="F350" s="4">
        <v>1.8412500000000001</v>
      </c>
      <c r="G350" s="4">
        <v>8.5016666666666669</v>
      </c>
      <c r="H350" s="4">
        <v>25.643750000000001</v>
      </c>
      <c r="I350" s="4">
        <v>28.480833333333329</v>
      </c>
      <c r="J350" s="4">
        <v>9.6166666666666664E-2</v>
      </c>
      <c r="K350" s="6">
        <v>0</v>
      </c>
      <c r="L350" s="4">
        <v>0</v>
      </c>
      <c r="M350" s="4">
        <v>621.20000000000005</v>
      </c>
      <c r="N350" s="8">
        <f t="shared" si="14"/>
        <v>347.5</v>
      </c>
      <c r="O350">
        <v>0</v>
      </c>
      <c r="P350" s="4">
        <v>0</v>
      </c>
      <c r="Q350" s="4">
        <v>23438.7</v>
      </c>
      <c r="R350">
        <f t="shared" si="12"/>
        <v>0.45129870129870131</v>
      </c>
    </row>
    <row r="351" spans="1:18">
      <c r="A351" s="2">
        <v>45793</v>
      </c>
      <c r="B351" s="4">
        <v>32.270000000000003</v>
      </c>
      <c r="C351" s="4">
        <v>23.74</v>
      </c>
      <c r="D351" s="4">
        <v>81.099583333333342</v>
      </c>
      <c r="E351" s="4">
        <v>668.625</v>
      </c>
      <c r="F351" s="4">
        <v>1.074583333333333</v>
      </c>
      <c r="G351" s="4">
        <v>22.120416666666671</v>
      </c>
      <c r="H351" s="4">
        <v>25.590833333333329</v>
      </c>
      <c r="I351" s="4">
        <v>30.00041666666667</v>
      </c>
      <c r="J351" s="4">
        <v>9.9999999999999992E-2</v>
      </c>
      <c r="K351" s="6">
        <v>0</v>
      </c>
      <c r="L351" s="4">
        <v>0</v>
      </c>
      <c r="M351" s="4">
        <v>539.9</v>
      </c>
      <c r="N351" s="8">
        <f t="shared" si="14"/>
        <v>340.59999999999854</v>
      </c>
      <c r="O351">
        <v>0</v>
      </c>
      <c r="P351" s="4">
        <v>0</v>
      </c>
      <c r="Q351" s="4">
        <v>23779.3</v>
      </c>
      <c r="R351">
        <f t="shared" si="12"/>
        <v>0.44233766233766048</v>
      </c>
    </row>
    <row r="352" spans="1:18">
      <c r="A352" s="2">
        <v>45794</v>
      </c>
      <c r="B352" s="4">
        <v>33.15</v>
      </c>
      <c r="C352" s="4">
        <v>25.02</v>
      </c>
      <c r="D352" s="4">
        <v>82.58</v>
      </c>
      <c r="E352" s="4">
        <v>596.83333333333337</v>
      </c>
      <c r="F352" s="4">
        <v>1.357916666666666</v>
      </c>
      <c r="G352" s="4">
        <v>21.4025</v>
      </c>
      <c r="H352" s="4">
        <v>27.645833333333329</v>
      </c>
      <c r="I352" s="4">
        <v>28.306249999999999</v>
      </c>
      <c r="J352" s="4">
        <v>9.2874999999999999E-2</v>
      </c>
      <c r="K352" s="6">
        <v>0</v>
      </c>
      <c r="L352" s="4">
        <v>0</v>
      </c>
      <c r="M352" s="4">
        <v>0</v>
      </c>
      <c r="N352" s="8">
        <f t="shared" si="14"/>
        <v>0</v>
      </c>
      <c r="O352">
        <v>0</v>
      </c>
      <c r="P352" s="4">
        <v>0</v>
      </c>
      <c r="Q352" s="4">
        <v>23779.3</v>
      </c>
      <c r="R352">
        <f t="shared" si="12"/>
        <v>0</v>
      </c>
    </row>
    <row r="353" spans="1:18">
      <c r="A353" s="2">
        <v>45795</v>
      </c>
      <c r="B353" s="4">
        <v>32.78</v>
      </c>
      <c r="C353" s="4">
        <v>26.08</v>
      </c>
      <c r="D353" s="4">
        <v>84.782499999999999</v>
      </c>
      <c r="E353" s="4">
        <v>584.79166666666663</v>
      </c>
      <c r="F353" s="4">
        <v>2.1704166666666671</v>
      </c>
      <c r="G353" s="4">
        <v>22.149583333333339</v>
      </c>
      <c r="H353" s="4">
        <v>26.67</v>
      </c>
      <c r="I353" s="4">
        <v>29.16</v>
      </c>
      <c r="J353" s="4">
        <v>9.7583333333333341E-2</v>
      </c>
      <c r="K353" s="6">
        <v>0</v>
      </c>
      <c r="L353" s="4">
        <v>0</v>
      </c>
      <c r="M353" s="4">
        <v>538</v>
      </c>
      <c r="N353" s="8">
        <f t="shared" si="14"/>
        <v>327.5</v>
      </c>
      <c r="O353">
        <v>0</v>
      </c>
      <c r="P353" s="4">
        <v>0</v>
      </c>
      <c r="Q353" s="4">
        <v>24106.799999999999</v>
      </c>
      <c r="R353">
        <f t="shared" si="12"/>
        <v>0.42532467532467533</v>
      </c>
    </row>
    <row r="354" spans="1:18">
      <c r="A354" s="2">
        <v>45796</v>
      </c>
      <c r="B354" s="4">
        <v>32.42</v>
      </c>
      <c r="C354" s="4">
        <v>25.82</v>
      </c>
      <c r="D354" s="4">
        <v>84.125833333333333</v>
      </c>
      <c r="E354" s="4">
        <v>512.75</v>
      </c>
      <c r="F354" s="4">
        <v>1.621666666666667</v>
      </c>
      <c r="G354" s="4">
        <v>22.193333333333332</v>
      </c>
      <c r="H354" s="4">
        <v>27.854166666666671</v>
      </c>
      <c r="I354" s="4">
        <v>26.407083333333329</v>
      </c>
      <c r="J354" s="4">
        <v>7.4874999999999997E-2</v>
      </c>
      <c r="K354" s="6">
        <v>20.5</v>
      </c>
      <c r="L354" s="4">
        <v>0</v>
      </c>
      <c r="M354" s="4">
        <v>0</v>
      </c>
      <c r="N354" s="8">
        <f t="shared" si="14"/>
        <v>0</v>
      </c>
      <c r="O354">
        <v>0</v>
      </c>
      <c r="P354" s="4">
        <v>0</v>
      </c>
      <c r="Q354" s="4">
        <v>24106.799999999999</v>
      </c>
      <c r="R354">
        <f t="shared" si="12"/>
        <v>0</v>
      </c>
    </row>
    <row r="355" spans="1:18">
      <c r="A355" s="2">
        <v>45797</v>
      </c>
      <c r="B355" s="4">
        <v>33.549999999999997</v>
      </c>
      <c r="C355" s="4">
        <v>24.32</v>
      </c>
      <c r="D355" s="4">
        <v>79.939166666666665</v>
      </c>
      <c r="E355" s="4">
        <v>664.25</v>
      </c>
      <c r="F355" s="4">
        <v>1.355</v>
      </c>
      <c r="G355" s="4">
        <v>21.76125</v>
      </c>
      <c r="H355" s="4">
        <v>28.00416666666667</v>
      </c>
      <c r="I355" s="4">
        <v>22.153333333333329</v>
      </c>
      <c r="J355" s="4">
        <v>4.4708333333333329E-2</v>
      </c>
      <c r="K355" s="6">
        <v>0</v>
      </c>
      <c r="L355" s="4">
        <v>0</v>
      </c>
      <c r="M355" s="4">
        <v>0</v>
      </c>
      <c r="N355" s="8">
        <f t="shared" si="14"/>
        <v>0</v>
      </c>
      <c r="O355">
        <v>0</v>
      </c>
      <c r="P355" s="4">
        <v>0</v>
      </c>
      <c r="Q355" s="4">
        <v>24106.799999999999</v>
      </c>
      <c r="R355">
        <f t="shared" si="12"/>
        <v>0</v>
      </c>
    </row>
    <row r="356" spans="1:18">
      <c r="A356" s="2">
        <v>45798</v>
      </c>
      <c r="B356" s="4">
        <v>33.96</v>
      </c>
      <c r="C356" s="4">
        <v>26.48</v>
      </c>
      <c r="D356" s="4">
        <v>82.305416666666659</v>
      </c>
      <c r="E356" s="4">
        <v>530.125</v>
      </c>
      <c r="F356" s="4">
        <v>1.58125</v>
      </c>
      <c r="G356" s="4">
        <v>23.006666666666661</v>
      </c>
      <c r="H356" s="4">
        <v>27.735416666666669</v>
      </c>
      <c r="I356" s="4">
        <v>24.521249999999998</v>
      </c>
      <c r="J356" s="4">
        <v>7.1958333333333332E-2</v>
      </c>
      <c r="K356" s="6">
        <v>0</v>
      </c>
      <c r="L356" s="4">
        <v>0</v>
      </c>
      <c r="M356" s="4">
        <v>526.20000000000005</v>
      </c>
      <c r="N356" s="8">
        <f t="shared" si="14"/>
        <v>327.20000000000073</v>
      </c>
      <c r="O356">
        <v>0</v>
      </c>
      <c r="P356" s="4">
        <v>0</v>
      </c>
      <c r="Q356" s="4">
        <v>24434</v>
      </c>
      <c r="R356">
        <f t="shared" si="12"/>
        <v>0.42493506493506589</v>
      </c>
    </row>
    <row r="357" spans="1:18">
      <c r="A357" s="2">
        <v>45799</v>
      </c>
      <c r="B357" s="4">
        <v>33.92</v>
      </c>
      <c r="C357" s="4">
        <v>25.86</v>
      </c>
      <c r="D357" s="4">
        <v>80.654166666666669</v>
      </c>
      <c r="E357" s="4">
        <v>571.91666666666663</v>
      </c>
      <c r="F357" s="4">
        <v>1.4570833333333331</v>
      </c>
      <c r="G357" s="4">
        <v>21.635833333333331</v>
      </c>
      <c r="H357" s="4">
        <v>26.980833333333329</v>
      </c>
      <c r="I357" s="4">
        <v>30.48833333333333</v>
      </c>
      <c r="J357" s="4">
        <v>0.1220416666666667</v>
      </c>
      <c r="K357" s="6">
        <v>0</v>
      </c>
      <c r="L357" s="4">
        <v>0</v>
      </c>
      <c r="M357" s="4">
        <v>375.4</v>
      </c>
      <c r="N357" s="8">
        <f t="shared" si="14"/>
        <v>199.70000000000073</v>
      </c>
      <c r="O357">
        <v>0</v>
      </c>
      <c r="P357" s="4">
        <v>0</v>
      </c>
      <c r="Q357" s="4">
        <v>24633.7</v>
      </c>
      <c r="R357">
        <f t="shared" si="12"/>
        <v>0.25935064935065028</v>
      </c>
    </row>
    <row r="358" spans="1:18">
      <c r="A358" s="2">
        <v>45800</v>
      </c>
      <c r="B358" s="4">
        <v>33.22</v>
      </c>
      <c r="C358" s="4">
        <v>25.02</v>
      </c>
      <c r="D358" s="4">
        <v>80.821666666666673</v>
      </c>
      <c r="E358" s="4">
        <v>663.875</v>
      </c>
      <c r="F358" s="4">
        <v>1.9616666666666669</v>
      </c>
      <c r="G358" s="4">
        <v>20.09375</v>
      </c>
      <c r="H358" s="4">
        <v>26.537916666666661</v>
      </c>
      <c r="I358" s="4">
        <v>30.035</v>
      </c>
      <c r="J358" s="4">
        <v>0.1201666666666667</v>
      </c>
      <c r="K358" s="6">
        <v>0</v>
      </c>
      <c r="L358" s="4">
        <v>0</v>
      </c>
      <c r="M358" s="4">
        <v>601.20000000000005</v>
      </c>
      <c r="N358" s="8">
        <f t="shared" si="14"/>
        <v>351.79999999999927</v>
      </c>
      <c r="O358">
        <v>0</v>
      </c>
      <c r="P358" s="4">
        <v>0</v>
      </c>
      <c r="Q358" s="4">
        <v>24985.5</v>
      </c>
      <c r="R358">
        <f t="shared" si="12"/>
        <v>0.45688311688311595</v>
      </c>
    </row>
    <row r="359" spans="1:18">
      <c r="A359" s="2">
        <v>45801</v>
      </c>
      <c r="B359" s="4">
        <v>31.76</v>
      </c>
      <c r="C359" s="4">
        <v>24.36</v>
      </c>
      <c r="D359" s="4">
        <v>84.454583333333332</v>
      </c>
      <c r="E359" s="4">
        <v>286.625</v>
      </c>
      <c r="F359" s="4">
        <v>2.5887500000000001</v>
      </c>
      <c r="G359" s="4">
        <v>12.96291666666667</v>
      </c>
      <c r="H359" s="4">
        <v>27.137083333333329</v>
      </c>
      <c r="I359" s="4">
        <v>30.012499999999999</v>
      </c>
      <c r="J359" s="4">
        <v>0.1332916666666667</v>
      </c>
      <c r="K359" s="6">
        <v>0</v>
      </c>
      <c r="L359" s="4">
        <v>0</v>
      </c>
      <c r="M359" s="4">
        <v>0</v>
      </c>
      <c r="N359" s="8">
        <f t="shared" si="14"/>
        <v>0</v>
      </c>
      <c r="O359">
        <v>0</v>
      </c>
      <c r="P359" s="4">
        <v>0</v>
      </c>
      <c r="Q359" s="4">
        <v>24985.5</v>
      </c>
      <c r="R359">
        <f t="shared" si="12"/>
        <v>0</v>
      </c>
    </row>
    <row r="360" spans="1:18">
      <c r="A360" s="2">
        <v>45802</v>
      </c>
      <c r="B360" s="4">
        <v>27.55</v>
      </c>
      <c r="C360" s="4">
        <v>22.38</v>
      </c>
      <c r="D360" s="4">
        <v>78.949583333333337</v>
      </c>
      <c r="E360" s="4">
        <v>423.04166666666669</v>
      </c>
      <c r="F360" s="4">
        <v>4.1945833333333331</v>
      </c>
      <c r="G360" s="4">
        <v>6.8654166666666674</v>
      </c>
      <c r="H360" s="4">
        <v>25.154166666666669</v>
      </c>
      <c r="I360" s="4">
        <v>30.349166666666669</v>
      </c>
      <c r="J360" s="4">
        <v>0.1152916666666667</v>
      </c>
      <c r="K360" s="6">
        <v>0</v>
      </c>
      <c r="L360" s="4">
        <v>0</v>
      </c>
      <c r="M360" s="4">
        <v>680.6</v>
      </c>
      <c r="N360" s="8">
        <f t="shared" si="14"/>
        <v>439.20000000000073</v>
      </c>
      <c r="O360">
        <v>0</v>
      </c>
      <c r="P360" s="4">
        <v>0</v>
      </c>
      <c r="Q360" s="4">
        <v>25424.7</v>
      </c>
      <c r="R360">
        <f t="shared" si="12"/>
        <v>0.57038961038961133</v>
      </c>
    </row>
    <row r="361" spans="1:18">
      <c r="A361" s="2">
        <v>45803</v>
      </c>
      <c r="B361" s="4">
        <v>25.05</v>
      </c>
      <c r="C361" s="4">
        <v>20.66</v>
      </c>
      <c r="D361" s="4">
        <v>82.049166666666665</v>
      </c>
      <c r="E361" s="4">
        <v>197.875</v>
      </c>
      <c r="F361" s="4">
        <v>3.7675000000000001</v>
      </c>
      <c r="G361" s="4">
        <v>6.5495833333333344</v>
      </c>
      <c r="H361" s="4">
        <v>23.092083333333331</v>
      </c>
      <c r="I361" s="4">
        <v>31.036249999999999</v>
      </c>
      <c r="J361" s="4">
        <v>0.1342916666666667</v>
      </c>
      <c r="K361" s="6">
        <v>0</v>
      </c>
      <c r="L361" s="4">
        <v>0</v>
      </c>
      <c r="M361" s="4">
        <v>0</v>
      </c>
      <c r="N361" s="8">
        <f t="shared" si="14"/>
        <v>0</v>
      </c>
      <c r="O361">
        <v>0</v>
      </c>
      <c r="P361" s="4">
        <v>0</v>
      </c>
      <c r="Q361" s="4">
        <v>25424.7</v>
      </c>
      <c r="R361">
        <f t="shared" si="12"/>
        <v>0</v>
      </c>
    </row>
    <row r="362" spans="1:18">
      <c r="A362" s="2">
        <v>45804</v>
      </c>
      <c r="B362" s="4">
        <v>30.81</v>
      </c>
      <c r="C362" s="4">
        <v>20.29</v>
      </c>
      <c r="D362" s="4">
        <v>81.923749999999998</v>
      </c>
      <c r="E362" s="4">
        <v>613.16666666666663</v>
      </c>
      <c r="F362" s="4">
        <v>3.132083333333334</v>
      </c>
      <c r="G362" s="4">
        <v>9.07</v>
      </c>
      <c r="H362" s="4">
        <v>24.779166666666669</v>
      </c>
      <c r="I362" s="4">
        <v>28.62541666666667</v>
      </c>
      <c r="J362" s="4">
        <v>0.1032916666666667</v>
      </c>
      <c r="K362" s="6">
        <v>0</v>
      </c>
      <c r="L362" s="4">
        <v>0</v>
      </c>
      <c r="M362" s="4">
        <v>753.2</v>
      </c>
      <c r="N362" s="8">
        <f t="shared" si="14"/>
        <v>423.09999999999854</v>
      </c>
      <c r="O362">
        <v>2.1</v>
      </c>
      <c r="P362" s="4">
        <v>0</v>
      </c>
      <c r="Q362" s="4">
        <v>25847.8</v>
      </c>
      <c r="R362">
        <f t="shared" si="12"/>
        <v>0.54948051948051757</v>
      </c>
    </row>
    <row r="363" spans="1:18">
      <c r="A363" s="2">
        <v>45805</v>
      </c>
      <c r="B363" s="4">
        <v>30.84</v>
      </c>
      <c r="C363" s="4">
        <v>24.36</v>
      </c>
      <c r="D363" s="4">
        <v>83.380833333333328</v>
      </c>
      <c r="E363" s="4">
        <v>349.70833333333331</v>
      </c>
      <c r="F363" s="4">
        <v>1.5874999999999999</v>
      </c>
      <c r="G363" s="4">
        <v>13.56833333333333</v>
      </c>
      <c r="H363" s="4">
        <v>26.13291666666667</v>
      </c>
      <c r="I363" s="4">
        <v>31.473749999999999</v>
      </c>
      <c r="J363" s="4">
        <v>0.14829166666666671</v>
      </c>
      <c r="K363" s="6">
        <v>0</v>
      </c>
      <c r="L363" s="4">
        <v>0</v>
      </c>
      <c r="M363" s="4">
        <v>0</v>
      </c>
      <c r="N363" s="8">
        <f t="shared" si="14"/>
        <v>17.900000000001455</v>
      </c>
      <c r="O363">
        <v>3.7</v>
      </c>
      <c r="P363" s="4">
        <v>0</v>
      </c>
      <c r="Q363" s="4">
        <v>25865.7</v>
      </c>
      <c r="R363">
        <f t="shared" si="12"/>
        <v>2.3246753246755136E-2</v>
      </c>
    </row>
    <row r="364" spans="1:18">
      <c r="A364" s="2">
        <v>45806</v>
      </c>
      <c r="B364" s="4">
        <v>25.16</v>
      </c>
      <c r="C364" s="4">
        <v>22.23</v>
      </c>
      <c r="D364" s="4">
        <v>95.015416666666667</v>
      </c>
      <c r="E364" s="4">
        <v>144.16666666666671</v>
      </c>
      <c r="F364" s="4">
        <v>1.8795833333333329</v>
      </c>
      <c r="G364" s="4">
        <v>13.43375</v>
      </c>
      <c r="H364" s="4">
        <v>24.96083333333333</v>
      </c>
      <c r="I364" s="4">
        <v>29.82791666666667</v>
      </c>
      <c r="J364" s="4">
        <v>0.12504166666666669</v>
      </c>
      <c r="K364" s="6">
        <v>0</v>
      </c>
      <c r="L364" s="4">
        <v>0</v>
      </c>
      <c r="M364" s="4">
        <v>0</v>
      </c>
      <c r="N364" s="8">
        <f t="shared" si="14"/>
        <v>0</v>
      </c>
      <c r="O364">
        <v>4.3</v>
      </c>
      <c r="P364" s="4">
        <v>0</v>
      </c>
      <c r="Q364" s="4">
        <v>25865.7</v>
      </c>
      <c r="R364">
        <f t="shared" si="12"/>
        <v>0</v>
      </c>
    </row>
    <row r="365" spans="1:18">
      <c r="A365" s="2">
        <v>45807</v>
      </c>
      <c r="B365" s="4">
        <v>29.41</v>
      </c>
      <c r="C365" s="4">
        <v>21.65</v>
      </c>
      <c r="D365" s="4">
        <v>84.254999999999995</v>
      </c>
      <c r="E365" s="4">
        <v>642.95833333333337</v>
      </c>
      <c r="F365" s="4">
        <v>2.8041666666666671</v>
      </c>
      <c r="G365" s="4">
        <v>6.2158333333333333</v>
      </c>
      <c r="H365" s="4">
        <v>25.510833333333331</v>
      </c>
      <c r="I365" s="4">
        <v>26.39916666666667</v>
      </c>
      <c r="J365" s="4">
        <v>8.8708333333333333E-2</v>
      </c>
      <c r="K365" s="6">
        <v>0</v>
      </c>
      <c r="L365" s="4">
        <v>0</v>
      </c>
      <c r="M365" s="4">
        <v>0</v>
      </c>
      <c r="N365" s="8">
        <f t="shared" si="14"/>
        <v>0</v>
      </c>
      <c r="O365">
        <v>3.4</v>
      </c>
      <c r="P365" s="4">
        <v>0</v>
      </c>
      <c r="Q365" s="4">
        <v>25865.7</v>
      </c>
      <c r="R365">
        <f t="shared" si="12"/>
        <v>0</v>
      </c>
    </row>
    <row r="366" spans="1:18">
      <c r="A366" s="2">
        <v>45808</v>
      </c>
      <c r="B366" s="4">
        <v>31.9</v>
      </c>
      <c r="C366" s="4">
        <v>22.38</v>
      </c>
      <c r="D366" s="4">
        <v>80.211249999999993</v>
      </c>
      <c r="E366" s="4">
        <v>568.04166666666663</v>
      </c>
      <c r="F366" s="4">
        <v>1.3187500000000001</v>
      </c>
      <c r="G366" s="4">
        <v>13.53125</v>
      </c>
      <c r="H366" s="4">
        <v>25.934583333333329</v>
      </c>
      <c r="I366" s="4">
        <v>26.944166666666661</v>
      </c>
      <c r="J366" s="4">
        <v>9.0166666666666673E-2</v>
      </c>
      <c r="K366" s="6">
        <v>0</v>
      </c>
      <c r="L366" s="4">
        <v>0</v>
      </c>
      <c r="M366" s="4">
        <v>766.5</v>
      </c>
      <c r="N366" s="8">
        <f t="shared" si="14"/>
        <v>452.39999999999782</v>
      </c>
      <c r="O366">
        <v>3</v>
      </c>
      <c r="P366" s="4">
        <v>0</v>
      </c>
      <c r="Q366" s="4">
        <v>26318.1</v>
      </c>
      <c r="R366">
        <f t="shared" si="12"/>
        <v>0.58753246753246469</v>
      </c>
    </row>
    <row r="367" spans="1:18">
      <c r="A367" s="2">
        <v>45809</v>
      </c>
      <c r="B367" s="4">
        <v>32.93</v>
      </c>
      <c r="C367" s="4">
        <v>24.4</v>
      </c>
      <c r="D367" s="4">
        <v>82.74</v>
      </c>
      <c r="E367" s="4">
        <v>562.66666666666663</v>
      </c>
      <c r="F367" s="4">
        <v>1.9541666666666671</v>
      </c>
      <c r="G367" s="4">
        <v>19.29666666666667</v>
      </c>
      <c r="H367" s="4">
        <v>27.322083333333339</v>
      </c>
      <c r="I367" s="4">
        <v>30.112500000000001</v>
      </c>
      <c r="J367" s="4">
        <v>0.1399583333333333</v>
      </c>
      <c r="K367" s="6">
        <v>0</v>
      </c>
      <c r="L367" s="4">
        <v>0</v>
      </c>
      <c r="M367" s="4">
        <v>0</v>
      </c>
      <c r="N367" s="8">
        <f t="shared" si="14"/>
        <v>0</v>
      </c>
      <c r="O367">
        <v>2.4</v>
      </c>
      <c r="P367" s="4">
        <v>0</v>
      </c>
      <c r="Q367" s="4">
        <v>26318.1</v>
      </c>
      <c r="R367">
        <f t="shared" si="12"/>
        <v>0</v>
      </c>
    </row>
    <row r="368" spans="1:18">
      <c r="A368" s="2">
        <v>45810</v>
      </c>
      <c r="B368" s="4">
        <v>32.42</v>
      </c>
      <c r="C368" s="4">
        <v>26.59</v>
      </c>
      <c r="D368" s="4">
        <v>86.388750000000002</v>
      </c>
      <c r="E368" s="4">
        <v>474.20833333333331</v>
      </c>
      <c r="F368" s="4">
        <v>2.597083333333333</v>
      </c>
      <c r="G368" s="4">
        <v>20.615416666666661</v>
      </c>
      <c r="H368" s="4">
        <v>28.267916666666661</v>
      </c>
      <c r="I368" s="4">
        <v>26.541666666666671</v>
      </c>
      <c r="J368" s="4">
        <v>9.1374999999999998E-2</v>
      </c>
      <c r="K368" s="6">
        <v>2.5</v>
      </c>
      <c r="L368" s="4">
        <v>0</v>
      </c>
      <c r="M368" s="4">
        <v>0</v>
      </c>
      <c r="N368" s="8">
        <f t="shared" si="14"/>
        <v>0</v>
      </c>
      <c r="O368">
        <v>1.4</v>
      </c>
      <c r="P368" s="4">
        <v>0</v>
      </c>
      <c r="Q368" s="4">
        <v>26318.1</v>
      </c>
      <c r="R368">
        <f t="shared" si="12"/>
        <v>0</v>
      </c>
    </row>
    <row r="369" spans="1:18">
      <c r="A369" s="2">
        <v>45811</v>
      </c>
      <c r="B369" s="4">
        <v>29.49</v>
      </c>
      <c r="C369" s="4">
        <v>25.42</v>
      </c>
      <c r="D369" s="4">
        <v>92.36333333333333</v>
      </c>
      <c r="E369" s="4">
        <v>149.04166666666671</v>
      </c>
      <c r="F369" s="4">
        <v>1.8720833333333331</v>
      </c>
      <c r="G369" s="4">
        <v>18.297499999999999</v>
      </c>
      <c r="H369" s="4">
        <v>27.362916666666671</v>
      </c>
      <c r="I369" s="4">
        <v>30.572500000000002</v>
      </c>
      <c r="J369" s="4">
        <v>0.145625</v>
      </c>
      <c r="K369" s="6">
        <v>52</v>
      </c>
      <c r="L369" s="4">
        <v>0</v>
      </c>
      <c r="M369" s="4">
        <v>146.6</v>
      </c>
      <c r="N369" s="8">
        <f t="shared" si="14"/>
        <v>113.60000000000218</v>
      </c>
      <c r="O369">
        <v>0</v>
      </c>
      <c r="P369" s="4">
        <v>0</v>
      </c>
      <c r="Q369" s="4">
        <v>26431.7</v>
      </c>
      <c r="R369">
        <f t="shared" si="12"/>
        <v>0.14753246753247037</v>
      </c>
    </row>
    <row r="370" spans="1:18">
      <c r="A370" s="2">
        <v>45812</v>
      </c>
      <c r="B370" s="4">
        <v>28.61</v>
      </c>
      <c r="C370" s="4">
        <v>24.03</v>
      </c>
      <c r="D370" s="4">
        <v>92.34375</v>
      </c>
      <c r="E370" s="4">
        <v>186.95833333333329</v>
      </c>
      <c r="F370" s="4">
        <v>1.44625</v>
      </c>
      <c r="G370" s="4">
        <v>12.46708333333333</v>
      </c>
      <c r="H370" s="4">
        <v>26.71041666666666</v>
      </c>
      <c r="I370" s="4">
        <v>32.705833333333338</v>
      </c>
      <c r="J370" s="4">
        <v>0.17366666666666669</v>
      </c>
      <c r="K370" s="6">
        <v>28.5</v>
      </c>
      <c r="L370" s="4">
        <v>0</v>
      </c>
      <c r="M370" s="4">
        <v>0</v>
      </c>
      <c r="N370" s="8">
        <f t="shared" si="14"/>
        <v>0</v>
      </c>
      <c r="O370">
        <v>0</v>
      </c>
      <c r="P370" s="4">
        <v>0</v>
      </c>
      <c r="Q370" s="4">
        <v>26431.7</v>
      </c>
      <c r="R370">
        <f t="shared" si="12"/>
        <v>0</v>
      </c>
    </row>
    <row r="371" spans="1:18">
      <c r="A371" s="2">
        <v>45813</v>
      </c>
      <c r="B371" s="4">
        <v>30.33</v>
      </c>
      <c r="C371" s="4">
        <v>25.05</v>
      </c>
      <c r="D371" s="4">
        <v>89.65291666666667</v>
      </c>
      <c r="E371" s="4">
        <v>445.5</v>
      </c>
      <c r="F371" s="4">
        <v>1.1858333333333331</v>
      </c>
      <c r="G371" s="4">
        <v>19.510416666666671</v>
      </c>
      <c r="H371" s="4">
        <v>27.384166666666669</v>
      </c>
      <c r="I371" s="4">
        <v>28.532916666666669</v>
      </c>
      <c r="J371" s="4">
        <v>0.12095833333333331</v>
      </c>
      <c r="K371" s="6">
        <v>2</v>
      </c>
      <c r="L371" s="4">
        <v>0</v>
      </c>
      <c r="M371" s="4">
        <v>0</v>
      </c>
      <c r="N371" s="8">
        <f t="shared" si="14"/>
        <v>0</v>
      </c>
      <c r="O371">
        <v>0</v>
      </c>
      <c r="P371" s="4">
        <v>0</v>
      </c>
      <c r="Q371" s="4">
        <v>26431.7</v>
      </c>
      <c r="R371">
        <f t="shared" si="12"/>
        <v>0</v>
      </c>
    </row>
    <row r="372" spans="1:18">
      <c r="A372" s="2">
        <v>45814</v>
      </c>
      <c r="B372" s="4">
        <v>31.87</v>
      </c>
      <c r="C372" s="4">
        <v>25.93</v>
      </c>
      <c r="D372" s="4">
        <v>88.991666666666674</v>
      </c>
      <c r="E372" s="4">
        <v>359.04166666666669</v>
      </c>
      <c r="F372" s="4">
        <v>0.76833333333333342</v>
      </c>
      <c r="G372" s="4">
        <v>17.418749999999999</v>
      </c>
      <c r="H372" s="4">
        <v>27.936666666666671</v>
      </c>
      <c r="I372" s="4">
        <v>26.717500000000001</v>
      </c>
      <c r="J372" s="4">
        <v>7.7625E-2</v>
      </c>
      <c r="K372" s="6">
        <v>5</v>
      </c>
      <c r="L372" s="4">
        <v>0</v>
      </c>
      <c r="M372" s="4">
        <v>0</v>
      </c>
      <c r="N372" s="8">
        <f t="shared" si="14"/>
        <v>0</v>
      </c>
      <c r="O372">
        <v>0</v>
      </c>
      <c r="P372" s="4">
        <v>0</v>
      </c>
      <c r="Q372" s="4">
        <v>26431.7</v>
      </c>
      <c r="R372">
        <f t="shared" si="12"/>
        <v>0</v>
      </c>
    </row>
    <row r="373" spans="1:18">
      <c r="A373" s="2">
        <v>45815</v>
      </c>
      <c r="B373" s="4">
        <v>32.67</v>
      </c>
      <c r="C373" s="4">
        <v>25.93</v>
      </c>
      <c r="D373" s="4">
        <v>86.747916666666654</v>
      </c>
      <c r="E373" s="4">
        <v>622.79166666666663</v>
      </c>
      <c r="F373" s="4">
        <v>1.4404166666666669</v>
      </c>
      <c r="G373" s="4">
        <v>19.923333333333339</v>
      </c>
      <c r="H373" s="4">
        <v>28.26958333333333</v>
      </c>
      <c r="I373" s="4">
        <v>26.977916666666669</v>
      </c>
      <c r="J373" s="4">
        <v>0.1318333333333333</v>
      </c>
      <c r="K373" s="6">
        <v>1.5</v>
      </c>
      <c r="L373" s="4">
        <v>0</v>
      </c>
      <c r="M373" s="4">
        <v>225.7</v>
      </c>
      <c r="N373" s="8">
        <f t="shared" si="14"/>
        <v>126.59999999999854</v>
      </c>
      <c r="O373">
        <v>0</v>
      </c>
      <c r="P373" s="4">
        <v>0</v>
      </c>
      <c r="Q373" s="4">
        <v>26558.3</v>
      </c>
      <c r="R373">
        <f t="shared" si="12"/>
        <v>0.16441558441558252</v>
      </c>
    </row>
    <row r="374" spans="1:18">
      <c r="A374" s="2">
        <v>45816</v>
      </c>
      <c r="B374" s="4">
        <v>79.52</v>
      </c>
      <c r="C374" s="4">
        <v>26.45</v>
      </c>
      <c r="D374" s="4">
        <v>84.00333333333333</v>
      </c>
      <c r="E374" s="4">
        <v>561.5</v>
      </c>
      <c r="F374" s="4">
        <v>1.772083333333333</v>
      </c>
      <c r="G374" s="4">
        <v>21.811250000000001</v>
      </c>
      <c r="H374" s="4">
        <v>28.754999999999999</v>
      </c>
      <c r="I374" s="4">
        <v>23.442083333333329</v>
      </c>
      <c r="J374" s="4">
        <v>7.9375000000000001E-2</v>
      </c>
      <c r="K374" s="6">
        <v>0</v>
      </c>
      <c r="L374" s="4">
        <v>0</v>
      </c>
      <c r="M374" s="4">
        <v>0</v>
      </c>
      <c r="N374" s="8">
        <f t="shared" si="14"/>
        <v>0</v>
      </c>
      <c r="O374">
        <v>0</v>
      </c>
      <c r="P374" s="4">
        <v>0</v>
      </c>
      <c r="Q374" s="4">
        <v>26558.3</v>
      </c>
      <c r="R374">
        <f t="shared" si="12"/>
        <v>0</v>
      </c>
    </row>
    <row r="375" spans="1:18">
      <c r="A375" s="2">
        <v>45817</v>
      </c>
      <c r="B375" s="4">
        <v>33.19</v>
      </c>
      <c r="C375" s="4">
        <v>26.41</v>
      </c>
      <c r="D375" s="4">
        <v>83.752499999999998</v>
      </c>
      <c r="E375" s="4">
        <v>548.54166666666663</v>
      </c>
      <c r="F375" s="4">
        <v>1.350416666666667</v>
      </c>
      <c r="G375" s="4">
        <v>17.076250000000002</v>
      </c>
      <c r="H375" s="4">
        <v>28.950416666666669</v>
      </c>
      <c r="I375" s="4">
        <v>20.013750000000002</v>
      </c>
      <c r="J375" s="4">
        <v>6.1708333333333337E-2</v>
      </c>
      <c r="K375" s="6">
        <v>0</v>
      </c>
      <c r="L375" s="4">
        <v>0</v>
      </c>
      <c r="M375" s="4">
        <v>0</v>
      </c>
      <c r="N375" s="8">
        <f t="shared" si="14"/>
        <v>0</v>
      </c>
      <c r="O375">
        <v>0</v>
      </c>
      <c r="P375" s="4">
        <v>0</v>
      </c>
      <c r="Q375" s="4">
        <v>26558.3</v>
      </c>
      <c r="R375">
        <f t="shared" si="12"/>
        <v>0</v>
      </c>
    </row>
    <row r="376" spans="1:18">
      <c r="A376" s="2">
        <v>45818</v>
      </c>
      <c r="B376" s="4">
        <v>34.4</v>
      </c>
      <c r="C376" s="4">
        <v>26.37</v>
      </c>
      <c r="D376" s="4">
        <v>81.288750000000007</v>
      </c>
      <c r="E376" s="4">
        <v>697.54166666666663</v>
      </c>
      <c r="F376" s="4">
        <v>1.665</v>
      </c>
      <c r="G376" s="4">
        <v>12.64583333333333</v>
      </c>
      <c r="H376" s="4">
        <v>27.889583333333331</v>
      </c>
      <c r="I376" s="4">
        <v>23.670833333333331</v>
      </c>
      <c r="J376" s="4">
        <v>0.1007083333333333</v>
      </c>
      <c r="K376" s="6">
        <v>0</v>
      </c>
      <c r="L376" s="4">
        <v>0</v>
      </c>
      <c r="M376" s="4">
        <v>672.2</v>
      </c>
      <c r="N376" s="8">
        <f t="shared" si="14"/>
        <v>436.29999999999927</v>
      </c>
      <c r="O376">
        <v>0</v>
      </c>
      <c r="P376" s="4">
        <v>0</v>
      </c>
      <c r="Q376" s="4">
        <v>26994.6</v>
      </c>
      <c r="R376">
        <f t="shared" si="12"/>
        <v>0.5666233766233757</v>
      </c>
    </row>
    <row r="377" spans="1:18">
      <c r="A377" s="2">
        <v>45819</v>
      </c>
      <c r="B377" s="4">
        <v>33.26</v>
      </c>
      <c r="C377" s="4">
        <v>26.48</v>
      </c>
      <c r="D377" s="4">
        <v>86.326666666666668</v>
      </c>
      <c r="E377" s="4">
        <v>694.08333333333337</v>
      </c>
      <c r="F377" s="4">
        <v>2.1487500000000002</v>
      </c>
      <c r="G377" s="4">
        <v>12.885833333333331</v>
      </c>
      <c r="H377" s="4">
        <v>28.508749999999999</v>
      </c>
      <c r="I377" s="4">
        <v>29.962916666666668</v>
      </c>
      <c r="J377" s="4">
        <v>0.15304166666666669</v>
      </c>
      <c r="K377" s="6">
        <v>0</v>
      </c>
      <c r="L377" s="4">
        <v>0</v>
      </c>
      <c r="M377" s="4">
        <v>0</v>
      </c>
      <c r="N377" s="8">
        <f t="shared" si="14"/>
        <v>0</v>
      </c>
      <c r="O377">
        <v>0</v>
      </c>
      <c r="P377" s="4">
        <v>0</v>
      </c>
      <c r="Q377" s="4">
        <v>26994.6</v>
      </c>
      <c r="R377">
        <f t="shared" si="12"/>
        <v>0</v>
      </c>
    </row>
    <row r="378" spans="1:18">
      <c r="A378" s="2">
        <v>45820</v>
      </c>
      <c r="B378" s="4">
        <v>34.65</v>
      </c>
      <c r="C378" s="4">
        <v>26.7</v>
      </c>
      <c r="D378" s="4">
        <v>85.503750000000011</v>
      </c>
      <c r="E378" s="4">
        <v>423</v>
      </c>
      <c r="F378" s="4">
        <v>1.6637500000000001</v>
      </c>
      <c r="G378" s="4">
        <v>15.77375</v>
      </c>
      <c r="H378" s="4">
        <v>27.04291666666667</v>
      </c>
      <c r="I378" s="4">
        <v>29.84791666666667</v>
      </c>
      <c r="J378" s="4">
        <v>0.12891666666666671</v>
      </c>
      <c r="K378" s="6">
        <v>0</v>
      </c>
      <c r="L378" s="4">
        <v>0</v>
      </c>
      <c r="M378" s="4">
        <v>764.9</v>
      </c>
      <c r="N378" s="8">
        <f t="shared" si="14"/>
        <v>448.10000000000218</v>
      </c>
      <c r="O378">
        <v>0</v>
      </c>
      <c r="P378" s="4">
        <v>0</v>
      </c>
      <c r="Q378" s="4">
        <v>27442.7</v>
      </c>
      <c r="R378">
        <f t="shared" si="12"/>
        <v>0.58194805194805477</v>
      </c>
    </row>
    <row r="379" spans="1:18">
      <c r="A379" s="2">
        <v>45821</v>
      </c>
      <c r="B379" s="4">
        <v>27.7</v>
      </c>
      <c r="C379" s="4">
        <v>23.9</v>
      </c>
      <c r="D379" s="4">
        <v>231.03125</v>
      </c>
      <c r="E379" s="4">
        <v>76.166666666666671</v>
      </c>
      <c r="F379" s="4">
        <v>3.5750000000000002</v>
      </c>
      <c r="G379" s="4">
        <v>19.745416666666671</v>
      </c>
      <c r="H379" s="4">
        <v>26.154583333333331</v>
      </c>
      <c r="I379" s="4">
        <v>32.310833333333328</v>
      </c>
      <c r="J379" s="4">
        <v>0.167125</v>
      </c>
      <c r="K379" s="6">
        <v>105.5</v>
      </c>
      <c r="L379" s="4">
        <v>0</v>
      </c>
      <c r="M379" s="4">
        <v>0</v>
      </c>
      <c r="N379" s="8">
        <f t="shared" si="14"/>
        <v>0</v>
      </c>
      <c r="O379">
        <v>0</v>
      </c>
      <c r="P379" s="4">
        <v>0</v>
      </c>
      <c r="Q379" s="4">
        <v>27442.7</v>
      </c>
      <c r="R379">
        <f t="shared" si="12"/>
        <v>0</v>
      </c>
    </row>
    <row r="380" spans="1:18">
      <c r="A380" s="2">
        <v>45822</v>
      </c>
      <c r="B380" s="4">
        <v>33.44</v>
      </c>
      <c r="C380" s="4">
        <v>25.9</v>
      </c>
      <c r="D380" s="4">
        <v>343.23374999999999</v>
      </c>
      <c r="E380" s="4">
        <v>477.58333333333331</v>
      </c>
      <c r="F380" s="4">
        <v>2.2962500000000001</v>
      </c>
      <c r="G380" s="4">
        <v>19.943750000000001</v>
      </c>
      <c r="H380" s="4">
        <v>27.736666666666661</v>
      </c>
      <c r="I380" s="4">
        <v>32.407499999999999</v>
      </c>
      <c r="J380" s="4">
        <v>0.16541666666666671</v>
      </c>
      <c r="K380" s="6">
        <v>3.5</v>
      </c>
      <c r="L380" s="4">
        <v>0</v>
      </c>
      <c r="M380" s="4">
        <v>0</v>
      </c>
      <c r="N380" s="8">
        <f t="shared" si="14"/>
        <v>0</v>
      </c>
      <c r="O380">
        <v>0</v>
      </c>
      <c r="P380" s="4">
        <v>0</v>
      </c>
      <c r="Q380" s="4">
        <v>27442.7</v>
      </c>
      <c r="R380">
        <f t="shared" si="12"/>
        <v>0</v>
      </c>
    </row>
    <row r="381" spans="1:18">
      <c r="A381" s="2">
        <v>45823</v>
      </c>
      <c r="B381" s="4">
        <v>33.549999999999997</v>
      </c>
      <c r="C381" s="4">
        <v>26.08</v>
      </c>
      <c r="D381" s="4">
        <v>78.255833333333328</v>
      </c>
      <c r="E381" s="4">
        <v>662.66666666666663</v>
      </c>
      <c r="F381" s="4">
        <v>2.7320833333333332</v>
      </c>
      <c r="G381" s="4">
        <v>19.46083333333333</v>
      </c>
      <c r="H381" s="4">
        <v>28.087499999999999</v>
      </c>
      <c r="I381" s="4">
        <v>28.213750000000001</v>
      </c>
      <c r="J381" s="4">
        <v>0.11466666666666669</v>
      </c>
      <c r="K381" s="6">
        <v>0</v>
      </c>
      <c r="L381" s="4">
        <v>0</v>
      </c>
      <c r="M381" s="4">
        <v>0</v>
      </c>
      <c r="N381" s="8">
        <f t="shared" si="14"/>
        <v>0</v>
      </c>
      <c r="O381">
        <v>0</v>
      </c>
      <c r="P381" s="4">
        <v>0</v>
      </c>
      <c r="Q381" s="4">
        <v>27442.7</v>
      </c>
      <c r="R381">
        <f t="shared" si="12"/>
        <v>0</v>
      </c>
    </row>
    <row r="382" spans="1:18">
      <c r="A382" s="2">
        <v>45824</v>
      </c>
      <c r="B382" s="4">
        <v>32.67</v>
      </c>
      <c r="C382" s="4">
        <v>24.73</v>
      </c>
      <c r="D382" s="4">
        <v>86.982916666666668</v>
      </c>
      <c r="E382" s="4">
        <v>397.91666666666669</v>
      </c>
      <c r="F382" s="4">
        <v>2.1133333333333328</v>
      </c>
      <c r="G382" s="4">
        <v>20.13625</v>
      </c>
      <c r="H382" s="4">
        <v>27.747083333333329</v>
      </c>
      <c r="I382" s="4">
        <v>27.78833333333333</v>
      </c>
      <c r="J382" s="4">
        <v>8.4208333333333329E-2</v>
      </c>
      <c r="K382" s="6">
        <v>34.5</v>
      </c>
      <c r="L382" s="4">
        <v>0</v>
      </c>
      <c r="M382" s="4">
        <v>0</v>
      </c>
      <c r="N382" s="8">
        <f t="shared" si="14"/>
        <v>0</v>
      </c>
      <c r="O382">
        <v>0</v>
      </c>
      <c r="P382" s="4">
        <v>0</v>
      </c>
      <c r="Q382" s="4">
        <v>27442.7</v>
      </c>
      <c r="R382">
        <f t="shared" si="12"/>
        <v>0</v>
      </c>
    </row>
    <row r="383" spans="1:18">
      <c r="A383" s="2">
        <v>45825</v>
      </c>
      <c r="B383" s="4">
        <v>32.42</v>
      </c>
      <c r="C383" s="4">
        <v>25.68</v>
      </c>
      <c r="D383" s="4">
        <v>86.997500000000002</v>
      </c>
      <c r="E383" s="4">
        <v>576.33333333333337</v>
      </c>
      <c r="F383" s="4">
        <v>1.4212499999999999</v>
      </c>
      <c r="G383" s="4">
        <v>18.39875</v>
      </c>
      <c r="H383" s="4">
        <v>28.415833333333339</v>
      </c>
      <c r="I383" s="4">
        <v>25.029583333333331</v>
      </c>
      <c r="J383" s="4">
        <v>6.7666666666666667E-2</v>
      </c>
      <c r="K383" s="6">
        <v>0</v>
      </c>
      <c r="L383" s="4">
        <v>0</v>
      </c>
      <c r="M383" s="4">
        <v>0</v>
      </c>
      <c r="N383" s="8">
        <f t="shared" si="14"/>
        <v>0</v>
      </c>
      <c r="O383">
        <v>0</v>
      </c>
      <c r="P383" s="4">
        <v>0</v>
      </c>
      <c r="Q383" s="4">
        <v>27442.7</v>
      </c>
      <c r="R383">
        <f t="shared" si="12"/>
        <v>0</v>
      </c>
    </row>
    <row r="384" spans="1:18">
      <c r="A384" s="2">
        <v>45826</v>
      </c>
      <c r="B384" s="4">
        <v>33.369999999999997</v>
      </c>
      <c r="C384" s="4">
        <v>23.3</v>
      </c>
      <c r="D384" s="4">
        <v>89.319583333333341</v>
      </c>
      <c r="E384" s="4">
        <v>497.45833333333331</v>
      </c>
      <c r="F384" s="4">
        <v>1.1479166666666669</v>
      </c>
      <c r="G384" s="4">
        <v>15.925000000000001</v>
      </c>
      <c r="H384" s="4">
        <v>26.912916666666661</v>
      </c>
      <c r="I384" s="4">
        <v>28.348333333333329</v>
      </c>
      <c r="J384" s="4">
        <v>9.6999999999999989E-2</v>
      </c>
      <c r="K384" s="6">
        <v>4</v>
      </c>
      <c r="L384" s="4">
        <v>0</v>
      </c>
      <c r="M384" s="4">
        <v>473.4</v>
      </c>
      <c r="N384" s="8">
        <f t="shared" si="14"/>
        <v>287.59999999999854</v>
      </c>
      <c r="O384">
        <v>0</v>
      </c>
      <c r="P384" s="4">
        <v>0</v>
      </c>
      <c r="Q384" s="4">
        <v>27730.3</v>
      </c>
      <c r="R384">
        <f t="shared" si="12"/>
        <v>0.37350649350649162</v>
      </c>
    </row>
    <row r="385" spans="1:18">
      <c r="A385" s="2">
        <v>45827</v>
      </c>
      <c r="B385" s="4">
        <v>33.299999999999997</v>
      </c>
      <c r="C385" s="4">
        <v>23.74</v>
      </c>
      <c r="D385" s="4">
        <v>84.026666666666671</v>
      </c>
      <c r="E385" s="4">
        <v>655.125</v>
      </c>
      <c r="F385" s="4">
        <v>1.4524999999999999</v>
      </c>
      <c r="G385" s="4">
        <v>14.590833333333331</v>
      </c>
      <c r="H385" s="4">
        <v>27.43791666666667</v>
      </c>
      <c r="I385" s="4">
        <v>27.56625</v>
      </c>
      <c r="J385" s="4">
        <v>9.9333333333333329E-2</v>
      </c>
      <c r="K385" s="6">
        <v>0</v>
      </c>
      <c r="L385" s="4">
        <v>0</v>
      </c>
      <c r="M385" s="4">
        <v>0</v>
      </c>
      <c r="N385" s="8">
        <f t="shared" si="14"/>
        <v>0</v>
      </c>
      <c r="O385">
        <v>0</v>
      </c>
      <c r="P385" s="4">
        <v>0</v>
      </c>
      <c r="Q385" s="4">
        <v>27730.3</v>
      </c>
      <c r="R385">
        <f t="shared" si="12"/>
        <v>0</v>
      </c>
    </row>
    <row r="386" spans="1:18">
      <c r="A386" s="2">
        <v>45828</v>
      </c>
      <c r="B386" s="4">
        <v>33.96</v>
      </c>
      <c r="C386" s="4">
        <v>24.87</v>
      </c>
      <c r="D386" s="4">
        <v>83.308333333333337</v>
      </c>
      <c r="E386" s="4">
        <v>638.20833333333337</v>
      </c>
      <c r="F386" s="4">
        <v>1.3274999999999999</v>
      </c>
      <c r="G386" s="4">
        <v>17.739999999999998</v>
      </c>
      <c r="H386" s="4">
        <v>26.75708333333333</v>
      </c>
      <c r="I386" s="4">
        <v>28.342500000000001</v>
      </c>
      <c r="J386" s="4">
        <v>9.9041666666666681E-2</v>
      </c>
      <c r="K386" s="6">
        <v>0</v>
      </c>
      <c r="L386" s="4">
        <v>0</v>
      </c>
      <c r="M386" s="4">
        <v>555</v>
      </c>
      <c r="N386" s="8">
        <f t="shared" si="14"/>
        <v>346.20000000000073</v>
      </c>
      <c r="O386">
        <v>0</v>
      </c>
      <c r="P386" s="4">
        <v>0</v>
      </c>
      <c r="Q386" s="4">
        <v>28076.5</v>
      </c>
      <c r="R386">
        <f t="shared" si="12"/>
        <v>0.44961038961039057</v>
      </c>
    </row>
    <row r="387" spans="1:18">
      <c r="A387" s="2">
        <v>45829</v>
      </c>
      <c r="B387" s="4">
        <v>33.479999999999997</v>
      </c>
      <c r="C387" s="4">
        <v>25.93</v>
      </c>
      <c r="D387" s="4">
        <v>83.823750000000004</v>
      </c>
      <c r="E387" s="4">
        <v>726.66666666666663</v>
      </c>
      <c r="F387" s="4">
        <v>1.7224999999999999</v>
      </c>
      <c r="G387" s="4">
        <v>22.235416666666669</v>
      </c>
      <c r="H387" s="4">
        <v>28.028333333333329</v>
      </c>
      <c r="I387" s="4">
        <v>27.112083333333331</v>
      </c>
      <c r="J387" s="4">
        <v>9.8875000000000005E-2</v>
      </c>
      <c r="K387" s="6">
        <v>0</v>
      </c>
      <c r="L387" s="4">
        <v>0</v>
      </c>
      <c r="M387" s="4">
        <v>0</v>
      </c>
      <c r="N387" s="8">
        <f t="shared" si="14"/>
        <v>0</v>
      </c>
      <c r="O387">
        <v>0</v>
      </c>
      <c r="P387" s="4">
        <v>0</v>
      </c>
      <c r="Q387" s="4">
        <v>28076.5</v>
      </c>
      <c r="R387">
        <f t="shared" ref="R387:R450" si="15">N387/770</f>
        <v>0</v>
      </c>
    </row>
    <row r="388" spans="1:18">
      <c r="A388" s="2">
        <v>45830</v>
      </c>
      <c r="B388" s="4">
        <v>33.33</v>
      </c>
      <c r="C388" s="4">
        <v>26.48</v>
      </c>
      <c r="D388" s="4">
        <v>83.958333333333329</v>
      </c>
      <c r="E388" s="4">
        <v>562.33333333333337</v>
      </c>
      <c r="F388" s="4">
        <v>1.5283333333333331</v>
      </c>
      <c r="G388" s="4">
        <v>21.46041666666666</v>
      </c>
      <c r="H388" s="4">
        <v>27.013750000000002</v>
      </c>
      <c r="I388" s="4">
        <v>27.520833333333329</v>
      </c>
      <c r="J388" s="4">
        <v>9.4708333333333339E-2</v>
      </c>
      <c r="K388" s="6">
        <v>0</v>
      </c>
      <c r="L388" s="4">
        <v>0</v>
      </c>
      <c r="M388" s="4">
        <v>710.7</v>
      </c>
      <c r="N388" s="8">
        <f t="shared" si="14"/>
        <v>463.59999999999854</v>
      </c>
      <c r="O388">
        <v>0</v>
      </c>
      <c r="P388" s="4">
        <v>0</v>
      </c>
      <c r="Q388" s="4">
        <v>28540.1</v>
      </c>
      <c r="R388">
        <f t="shared" si="15"/>
        <v>0.60207792207792021</v>
      </c>
    </row>
    <row r="389" spans="1:18">
      <c r="A389" s="2">
        <v>45831</v>
      </c>
      <c r="B389" s="4">
        <v>33.15</v>
      </c>
      <c r="C389" s="4">
        <v>25.31</v>
      </c>
      <c r="D389" s="4">
        <v>84.524166666666659</v>
      </c>
      <c r="E389" s="4">
        <v>649.125</v>
      </c>
      <c r="F389" s="4">
        <v>1.8612500000000001</v>
      </c>
      <c r="G389" s="4">
        <v>20.653749999999999</v>
      </c>
      <c r="H389" s="4">
        <v>27.74208333333333</v>
      </c>
      <c r="I389" s="4">
        <v>30.052499999999998</v>
      </c>
      <c r="J389" s="4">
        <v>0.13783333333333331</v>
      </c>
      <c r="K389" s="6">
        <v>0</v>
      </c>
      <c r="L389" s="4">
        <v>0</v>
      </c>
      <c r="M389" s="4">
        <v>0</v>
      </c>
      <c r="N389" s="8">
        <f t="shared" si="14"/>
        <v>0</v>
      </c>
      <c r="O389">
        <v>0</v>
      </c>
      <c r="P389" s="4">
        <v>0</v>
      </c>
      <c r="Q389" s="4">
        <v>28540.1</v>
      </c>
      <c r="R389">
        <f t="shared" si="15"/>
        <v>0</v>
      </c>
    </row>
    <row r="390" spans="1:18">
      <c r="A390" s="2">
        <v>45832</v>
      </c>
      <c r="B390" s="4">
        <v>33.85</v>
      </c>
      <c r="C390" s="4">
        <v>26.08</v>
      </c>
      <c r="D390" s="4">
        <v>80.499583333333334</v>
      </c>
      <c r="E390" s="4">
        <v>642.125</v>
      </c>
      <c r="F390" s="4">
        <v>1.6525000000000001</v>
      </c>
      <c r="G390" s="4">
        <v>22.106249999999999</v>
      </c>
      <c r="H390" s="4">
        <v>26.756250000000001</v>
      </c>
      <c r="I390" s="4">
        <v>29.817916666666669</v>
      </c>
      <c r="J390" s="4">
        <v>0.12754166666666669</v>
      </c>
      <c r="K390" s="6">
        <v>0</v>
      </c>
      <c r="L390" s="4">
        <v>0</v>
      </c>
      <c r="M390" s="4">
        <v>707.8</v>
      </c>
      <c r="N390" s="8">
        <f t="shared" si="14"/>
        <v>463.90000000000146</v>
      </c>
      <c r="O390">
        <v>0</v>
      </c>
      <c r="P390" s="4">
        <v>0</v>
      </c>
      <c r="Q390" s="4">
        <v>29004</v>
      </c>
      <c r="R390">
        <f t="shared" si="15"/>
        <v>0.60246753246753437</v>
      </c>
    </row>
    <row r="391" spans="1:18">
      <c r="A391" s="2">
        <v>45833</v>
      </c>
      <c r="B391" s="4">
        <v>33.549999999999997</v>
      </c>
      <c r="C391" s="4">
        <v>26.48</v>
      </c>
      <c r="D391" s="4">
        <v>83.977916666666673</v>
      </c>
      <c r="E391" s="4">
        <v>672.70833333333337</v>
      </c>
      <c r="F391" s="4">
        <v>1.4733333333333329</v>
      </c>
      <c r="G391" s="4">
        <v>18.47583333333333</v>
      </c>
      <c r="H391" s="4">
        <v>27.735416666666669</v>
      </c>
      <c r="I391" s="4">
        <v>29.587916666666668</v>
      </c>
      <c r="J391" s="4">
        <v>0.135375</v>
      </c>
      <c r="K391" s="6">
        <v>0</v>
      </c>
      <c r="L391" s="4">
        <v>0</v>
      </c>
      <c r="M391" s="4">
        <v>0</v>
      </c>
      <c r="N391" s="8">
        <f t="shared" si="14"/>
        <v>0</v>
      </c>
      <c r="O391">
        <v>0</v>
      </c>
      <c r="P391" s="4">
        <v>0</v>
      </c>
      <c r="Q391" s="4">
        <v>29004</v>
      </c>
      <c r="R391">
        <f t="shared" si="15"/>
        <v>0</v>
      </c>
    </row>
    <row r="392" spans="1:18">
      <c r="A392" s="2">
        <v>45834</v>
      </c>
      <c r="B392" s="4">
        <v>33.99</v>
      </c>
      <c r="C392" s="4">
        <v>24.1</v>
      </c>
      <c r="D392" s="4">
        <v>86.024166666666659</v>
      </c>
      <c r="E392" s="4">
        <v>528</v>
      </c>
      <c r="F392" s="4">
        <v>1.7554166666666671</v>
      </c>
      <c r="G392" s="4">
        <v>13.89041666666667</v>
      </c>
      <c r="H392" s="4">
        <v>26.848749999999999</v>
      </c>
      <c r="I392" s="4">
        <v>29.098333333333329</v>
      </c>
      <c r="J392" s="4">
        <v>0.1127083333333333</v>
      </c>
      <c r="K392" s="6">
        <v>0</v>
      </c>
      <c r="L392" s="4">
        <v>0</v>
      </c>
      <c r="M392" s="4">
        <v>708.1</v>
      </c>
      <c r="N392" s="8">
        <f t="shared" si="14"/>
        <v>421.79999999999927</v>
      </c>
      <c r="O392">
        <v>0</v>
      </c>
      <c r="P392" s="4">
        <v>0</v>
      </c>
      <c r="Q392" s="4">
        <v>29425.8</v>
      </c>
      <c r="R392">
        <f t="shared" si="15"/>
        <v>0.54779220779220683</v>
      </c>
    </row>
    <row r="393" spans="1:18">
      <c r="A393" s="2">
        <v>45835</v>
      </c>
      <c r="B393" s="4">
        <v>34.1</v>
      </c>
      <c r="C393" s="4">
        <v>23.85</v>
      </c>
      <c r="D393" s="4">
        <v>83.890833333333333</v>
      </c>
      <c r="E393" s="4">
        <v>589.20833333333337</v>
      </c>
      <c r="F393" s="4">
        <v>0.96499999999999997</v>
      </c>
      <c r="G393" s="4">
        <v>13.46666666666667</v>
      </c>
      <c r="H393" s="4">
        <v>26.97625</v>
      </c>
      <c r="I393" s="4">
        <v>30.643750000000001</v>
      </c>
      <c r="J393" s="4">
        <v>0.14466666666666669</v>
      </c>
      <c r="K393" s="6">
        <v>0</v>
      </c>
      <c r="L393" s="4">
        <v>0</v>
      </c>
      <c r="M393" s="4">
        <v>0</v>
      </c>
      <c r="N393" s="8">
        <f t="shared" si="14"/>
        <v>0</v>
      </c>
      <c r="O393">
        <v>0</v>
      </c>
      <c r="P393" s="4">
        <v>0</v>
      </c>
      <c r="Q393" s="4">
        <v>29425.8</v>
      </c>
      <c r="R393">
        <f t="shared" si="15"/>
        <v>0</v>
      </c>
    </row>
    <row r="394" spans="1:18">
      <c r="A394" s="2">
        <v>45836</v>
      </c>
      <c r="B394" s="4">
        <v>34.21</v>
      </c>
      <c r="C394" s="4">
        <v>24.36</v>
      </c>
      <c r="D394" s="4">
        <v>80.072916666666671</v>
      </c>
      <c r="E394" s="4">
        <v>684.95833333333337</v>
      </c>
      <c r="F394" s="4">
        <v>1.220833333333333</v>
      </c>
      <c r="G394" s="4">
        <v>15.432916666666671</v>
      </c>
      <c r="H394" s="4">
        <v>27.078749999999999</v>
      </c>
      <c r="I394" s="4">
        <v>29.396666666666661</v>
      </c>
      <c r="J394" s="4">
        <v>0.1184583333333333</v>
      </c>
      <c r="K394" s="6">
        <v>0</v>
      </c>
      <c r="L394" s="4">
        <v>0</v>
      </c>
      <c r="M394" s="4">
        <v>314.8</v>
      </c>
      <c r="N394" s="8">
        <f t="shared" si="14"/>
        <v>186.60000000000218</v>
      </c>
      <c r="O394">
        <v>0</v>
      </c>
      <c r="P394" s="4">
        <v>0</v>
      </c>
      <c r="Q394" s="4">
        <v>29612.400000000001</v>
      </c>
      <c r="R394">
        <f t="shared" si="15"/>
        <v>0.24233766233766518</v>
      </c>
    </row>
    <row r="395" spans="1:18">
      <c r="A395" s="2">
        <v>45837</v>
      </c>
      <c r="B395" s="4">
        <v>33.700000000000003</v>
      </c>
      <c r="C395" s="4">
        <v>25.9</v>
      </c>
      <c r="D395" s="4">
        <v>80.596249999999998</v>
      </c>
      <c r="E395" s="4">
        <v>609.375</v>
      </c>
      <c r="F395" s="4">
        <v>1.4116666666666671</v>
      </c>
      <c r="G395" s="4">
        <v>14.946249999999999</v>
      </c>
      <c r="H395" s="4">
        <v>27.57</v>
      </c>
      <c r="I395" s="4">
        <v>27.319166666666661</v>
      </c>
      <c r="J395" s="4">
        <v>0.10875</v>
      </c>
      <c r="K395" s="6">
        <v>0</v>
      </c>
      <c r="L395" s="4">
        <v>0</v>
      </c>
      <c r="M395" s="4">
        <v>0</v>
      </c>
      <c r="N395" s="8">
        <f t="shared" si="14"/>
        <v>0</v>
      </c>
      <c r="O395" s="12">
        <v>0</v>
      </c>
      <c r="P395" s="4">
        <v>0</v>
      </c>
      <c r="Q395" s="4">
        <v>29612.400000000001</v>
      </c>
      <c r="R395" s="12">
        <f t="shared" si="15"/>
        <v>0</v>
      </c>
    </row>
    <row r="396" spans="1:18">
      <c r="A396" s="2">
        <v>45838</v>
      </c>
      <c r="B396" s="4">
        <v>33.22</v>
      </c>
      <c r="C396" s="4">
        <v>25.82</v>
      </c>
      <c r="D396" s="4">
        <v>84.476666666666674</v>
      </c>
      <c r="E396" s="4">
        <v>602.58333333333337</v>
      </c>
      <c r="F396" s="4">
        <v>0.95500000000000007</v>
      </c>
      <c r="G396" s="4">
        <v>12.22041666666667</v>
      </c>
      <c r="H396" s="4">
        <v>27.833749999999998</v>
      </c>
      <c r="I396" s="4">
        <v>24.513750000000002</v>
      </c>
      <c r="J396" s="4">
        <v>7.5375000000000011E-2</v>
      </c>
      <c r="K396" s="6">
        <v>0</v>
      </c>
      <c r="L396" s="4">
        <v>0</v>
      </c>
      <c r="M396" s="4">
        <v>0</v>
      </c>
      <c r="N396" s="8">
        <f t="shared" si="14"/>
        <v>3.0999999999985448</v>
      </c>
      <c r="P396" s="4">
        <v>0</v>
      </c>
      <c r="Q396" s="4">
        <v>29615.5</v>
      </c>
      <c r="R396">
        <f t="shared" si="15"/>
        <v>4.0259740259721358E-3</v>
      </c>
    </row>
    <row r="397" spans="1:18">
      <c r="A397" s="2">
        <v>45839</v>
      </c>
      <c r="B397" s="4">
        <v>35.31</v>
      </c>
      <c r="C397" s="4">
        <v>26.59</v>
      </c>
      <c r="I397" s="4">
        <v>28.442083333333329</v>
      </c>
      <c r="K397" s="6">
        <v>0</v>
      </c>
      <c r="L397" s="4">
        <v>0</v>
      </c>
      <c r="M397" s="4">
        <v>801.1</v>
      </c>
      <c r="N397" s="8">
        <f t="shared" si="14"/>
        <v>473.90000000000146</v>
      </c>
      <c r="Q397" s="4">
        <v>30089.4</v>
      </c>
      <c r="R397">
        <f t="shared" si="15"/>
        <v>0.61545454545454736</v>
      </c>
    </row>
    <row r="398" spans="1:18">
      <c r="A398" s="2">
        <v>45840</v>
      </c>
      <c r="B398" s="4">
        <v>35.049999999999997</v>
      </c>
      <c r="C398" s="4">
        <v>26.34</v>
      </c>
      <c r="I398" s="4">
        <v>27.893333333333331</v>
      </c>
      <c r="K398" s="6">
        <v>0</v>
      </c>
      <c r="L398" s="4">
        <v>0</v>
      </c>
      <c r="M398" s="4">
        <v>0</v>
      </c>
      <c r="N398" s="8">
        <f t="shared" si="14"/>
        <v>0</v>
      </c>
      <c r="Q398" s="4">
        <v>30089.4</v>
      </c>
      <c r="R398">
        <f t="shared" si="15"/>
        <v>0</v>
      </c>
    </row>
    <row r="399" spans="1:18">
      <c r="A399" s="2">
        <v>45841</v>
      </c>
      <c r="B399" s="4">
        <v>34.909999999999997</v>
      </c>
      <c r="C399" s="4">
        <v>27.36</v>
      </c>
      <c r="I399" s="4">
        <v>27.06958333333333</v>
      </c>
      <c r="K399" s="6">
        <v>0</v>
      </c>
      <c r="L399" s="4">
        <v>0</v>
      </c>
      <c r="M399" s="4">
        <v>800.3</v>
      </c>
      <c r="N399" s="8">
        <f t="shared" si="14"/>
        <v>470.09999999999854</v>
      </c>
      <c r="Q399" s="4">
        <v>30559.5</v>
      </c>
      <c r="R399">
        <f t="shared" si="15"/>
        <v>0.61051948051947857</v>
      </c>
    </row>
    <row r="400" spans="1:18">
      <c r="A400" s="2">
        <v>45842</v>
      </c>
      <c r="B400" s="4">
        <v>33.74</v>
      </c>
      <c r="C400" s="4">
        <v>24.36</v>
      </c>
      <c r="I400" s="4">
        <v>31.16458333333334</v>
      </c>
      <c r="K400" s="6">
        <v>0</v>
      </c>
      <c r="L400" s="4">
        <v>0</v>
      </c>
      <c r="M400" s="4">
        <v>0</v>
      </c>
      <c r="N400" s="8">
        <f t="shared" si="14"/>
        <v>0</v>
      </c>
      <c r="Q400" s="4">
        <v>30559.5</v>
      </c>
      <c r="R400">
        <f t="shared" si="15"/>
        <v>0</v>
      </c>
    </row>
    <row r="401" spans="1:18">
      <c r="A401" s="2">
        <v>45843</v>
      </c>
      <c r="B401" s="4">
        <v>32.82</v>
      </c>
      <c r="C401" s="4">
        <v>23.4</v>
      </c>
      <c r="I401" s="4">
        <v>31.492083333333341</v>
      </c>
      <c r="K401" s="6">
        <v>0</v>
      </c>
      <c r="L401" s="4">
        <v>0</v>
      </c>
      <c r="M401" s="4">
        <v>0</v>
      </c>
      <c r="N401" s="8">
        <f t="shared" si="14"/>
        <v>0</v>
      </c>
      <c r="Q401" s="4">
        <v>30559.5</v>
      </c>
      <c r="R401">
        <f t="shared" si="15"/>
        <v>0</v>
      </c>
    </row>
    <row r="402" spans="1:18">
      <c r="A402" s="2">
        <v>45844</v>
      </c>
      <c r="B402" s="4">
        <v>29.74</v>
      </c>
      <c r="C402" s="4">
        <v>22.93</v>
      </c>
      <c r="I402" s="4">
        <v>29.572083333333339</v>
      </c>
      <c r="K402" s="6">
        <v>0</v>
      </c>
      <c r="L402" s="4">
        <v>0</v>
      </c>
      <c r="M402" s="4">
        <v>0</v>
      </c>
      <c r="N402" s="8">
        <f t="shared" si="14"/>
        <v>0</v>
      </c>
      <c r="Q402" s="4">
        <v>30559.5</v>
      </c>
      <c r="R402">
        <f t="shared" si="15"/>
        <v>0</v>
      </c>
    </row>
    <row r="403" spans="1:18">
      <c r="A403" s="2">
        <v>45845</v>
      </c>
      <c r="B403" s="4">
        <v>31.39</v>
      </c>
      <c r="C403" s="4">
        <v>23.3</v>
      </c>
      <c r="I403" s="4">
        <v>31.758749999999999</v>
      </c>
      <c r="K403" s="6">
        <v>0</v>
      </c>
      <c r="L403" s="4">
        <v>0</v>
      </c>
      <c r="M403" s="4">
        <v>0</v>
      </c>
      <c r="N403" s="8">
        <f t="shared" si="14"/>
        <v>0</v>
      </c>
      <c r="Q403" s="4">
        <v>30559.5</v>
      </c>
      <c r="R403">
        <f t="shared" si="15"/>
        <v>0</v>
      </c>
    </row>
    <row r="404" spans="1:18">
      <c r="A404" s="2">
        <v>45846</v>
      </c>
      <c r="B404" s="4">
        <v>29.08</v>
      </c>
      <c r="C404" s="4">
        <v>23.81</v>
      </c>
      <c r="I404" s="4">
        <v>32.100833333333327</v>
      </c>
      <c r="K404" s="6">
        <v>0</v>
      </c>
      <c r="L404" s="4">
        <v>0</v>
      </c>
      <c r="M404" s="4">
        <v>0</v>
      </c>
      <c r="N404" s="8">
        <f t="shared" si="14"/>
        <v>0</v>
      </c>
      <c r="Q404" s="4">
        <v>30559.5</v>
      </c>
      <c r="R404">
        <f t="shared" si="15"/>
        <v>0</v>
      </c>
    </row>
    <row r="405" spans="1:18">
      <c r="A405" s="2">
        <v>45847</v>
      </c>
      <c r="B405" s="4">
        <v>30</v>
      </c>
      <c r="C405" s="4">
        <v>24.98</v>
      </c>
      <c r="I405" s="4">
        <v>30.415416666666669</v>
      </c>
      <c r="K405" s="6">
        <v>0</v>
      </c>
      <c r="L405" s="4">
        <v>0</v>
      </c>
      <c r="M405" s="4">
        <v>0</v>
      </c>
      <c r="N405" s="8">
        <f t="shared" si="14"/>
        <v>0</v>
      </c>
      <c r="Q405" s="4">
        <v>30559.5</v>
      </c>
      <c r="R405">
        <f t="shared" si="15"/>
        <v>0</v>
      </c>
    </row>
    <row r="406" spans="1:18">
      <c r="A406" s="2">
        <v>45848</v>
      </c>
      <c r="B406" s="4">
        <v>26.63</v>
      </c>
      <c r="C406" s="4">
        <v>23.92</v>
      </c>
      <c r="I406" s="4">
        <v>29.96916666666667</v>
      </c>
      <c r="K406" s="6">
        <v>0</v>
      </c>
      <c r="L406" s="4">
        <v>0</v>
      </c>
      <c r="M406" s="4">
        <v>0</v>
      </c>
      <c r="N406" s="8">
        <f t="shared" si="14"/>
        <v>0</v>
      </c>
      <c r="Q406" s="4">
        <v>30559.5</v>
      </c>
      <c r="R406">
        <f t="shared" si="15"/>
        <v>0</v>
      </c>
    </row>
    <row r="407" spans="1:18">
      <c r="A407" s="2">
        <v>45849</v>
      </c>
      <c r="B407" s="4">
        <v>31.5</v>
      </c>
      <c r="C407" s="4">
        <v>23.8</v>
      </c>
      <c r="I407" s="4">
        <v>29.7</v>
      </c>
      <c r="K407" s="6">
        <v>0</v>
      </c>
      <c r="L407" s="4">
        <v>0</v>
      </c>
      <c r="M407" s="4">
        <v>0</v>
      </c>
      <c r="N407" s="8">
        <f t="shared" si="14"/>
        <v>0</v>
      </c>
      <c r="Q407" s="4">
        <v>30559.5</v>
      </c>
      <c r="R407">
        <f t="shared" si="15"/>
        <v>0</v>
      </c>
    </row>
    <row r="408" spans="1:18">
      <c r="A408" s="2">
        <v>45850</v>
      </c>
      <c r="B408" s="4">
        <v>33.700000000000003</v>
      </c>
      <c r="C408" s="4">
        <v>26.7</v>
      </c>
      <c r="I408" s="4">
        <v>25.389583333333331</v>
      </c>
      <c r="K408" s="6">
        <v>0</v>
      </c>
      <c r="L408" s="4">
        <v>0</v>
      </c>
      <c r="M408" s="4">
        <v>0</v>
      </c>
      <c r="N408" s="8">
        <f t="shared" ref="N408:N471" si="16">Q408-Q407</f>
        <v>0</v>
      </c>
      <c r="Q408" s="4">
        <v>30559.5</v>
      </c>
      <c r="R408">
        <f t="shared" si="15"/>
        <v>0</v>
      </c>
    </row>
    <row r="409" spans="1:18">
      <c r="A409" s="2">
        <v>45851</v>
      </c>
      <c r="B409" s="4">
        <v>33.549999999999997</v>
      </c>
      <c r="C409" s="4">
        <v>26.67</v>
      </c>
      <c r="I409" s="4">
        <v>22.654583333333331</v>
      </c>
      <c r="K409" s="6">
        <v>0</v>
      </c>
      <c r="L409" s="4">
        <v>0</v>
      </c>
      <c r="M409" s="4">
        <v>0</v>
      </c>
      <c r="N409" s="8">
        <f t="shared" si="16"/>
        <v>0</v>
      </c>
      <c r="Q409" s="4">
        <v>30559.5</v>
      </c>
      <c r="R409">
        <f t="shared" si="15"/>
        <v>0</v>
      </c>
    </row>
    <row r="410" spans="1:18">
      <c r="A410" s="2">
        <v>45852</v>
      </c>
      <c r="B410" s="4">
        <v>33.549999999999997</v>
      </c>
      <c r="C410" s="4">
        <v>26.59</v>
      </c>
      <c r="I410" s="4">
        <v>20.379583333333329</v>
      </c>
      <c r="K410" s="6">
        <v>0</v>
      </c>
      <c r="L410" s="4">
        <v>0</v>
      </c>
      <c r="M410" s="4">
        <v>0</v>
      </c>
      <c r="N410" s="8">
        <f t="shared" si="16"/>
        <v>0</v>
      </c>
      <c r="Q410" s="4">
        <v>30559.5</v>
      </c>
      <c r="R410">
        <f t="shared" si="15"/>
        <v>0</v>
      </c>
    </row>
    <row r="411" spans="1:18">
      <c r="A411" s="2">
        <v>45853</v>
      </c>
      <c r="B411" s="4">
        <v>32.53</v>
      </c>
      <c r="C411" s="4">
        <v>24.84</v>
      </c>
      <c r="I411" s="4">
        <v>25.618749999999999</v>
      </c>
      <c r="K411" s="6">
        <v>0</v>
      </c>
      <c r="L411" s="4">
        <v>0</v>
      </c>
      <c r="M411" s="4">
        <v>0</v>
      </c>
      <c r="N411" s="8">
        <f t="shared" si="16"/>
        <v>0</v>
      </c>
      <c r="Q411" s="4">
        <v>30559.5</v>
      </c>
      <c r="R411">
        <f t="shared" si="15"/>
        <v>0</v>
      </c>
    </row>
    <row r="412" spans="1:18">
      <c r="A412" s="2">
        <v>45854</v>
      </c>
      <c r="B412" s="4">
        <v>33.630000000000003</v>
      </c>
      <c r="C412" s="4">
        <v>27.25</v>
      </c>
      <c r="I412" s="4">
        <v>23.499166666666671</v>
      </c>
      <c r="K412" s="6">
        <v>0</v>
      </c>
      <c r="L412" s="4">
        <v>0</v>
      </c>
      <c r="M412" s="4">
        <v>0</v>
      </c>
      <c r="N412" s="8">
        <f t="shared" si="16"/>
        <v>0</v>
      </c>
      <c r="Q412" s="4">
        <v>30559.5</v>
      </c>
      <c r="R412">
        <f t="shared" si="15"/>
        <v>0</v>
      </c>
    </row>
    <row r="413" spans="1:18">
      <c r="A413" s="2">
        <v>45855</v>
      </c>
      <c r="B413" s="4">
        <v>33.590000000000003</v>
      </c>
      <c r="C413" s="4">
        <v>25.97</v>
      </c>
      <c r="I413" s="4">
        <v>20.422916666666669</v>
      </c>
      <c r="K413" s="6">
        <v>0</v>
      </c>
      <c r="L413" s="4">
        <v>0</v>
      </c>
      <c r="M413" s="4">
        <v>0</v>
      </c>
      <c r="N413" s="8">
        <f t="shared" si="16"/>
        <v>0</v>
      </c>
      <c r="Q413" s="4">
        <v>30559.5</v>
      </c>
      <c r="R413">
        <f t="shared" si="15"/>
        <v>0</v>
      </c>
    </row>
    <row r="414" spans="1:18">
      <c r="A414" s="2">
        <v>45856</v>
      </c>
      <c r="B414" s="4">
        <v>33.33</v>
      </c>
      <c r="C414" s="4">
        <v>25.75</v>
      </c>
      <c r="I414" s="4">
        <v>16.102499999999999</v>
      </c>
      <c r="K414" s="6">
        <v>0</v>
      </c>
      <c r="L414" s="4">
        <v>0</v>
      </c>
      <c r="M414" s="4">
        <v>0</v>
      </c>
      <c r="N414" s="8">
        <f t="shared" si="16"/>
        <v>0</v>
      </c>
      <c r="Q414" s="4">
        <v>30559.5</v>
      </c>
      <c r="R414">
        <f t="shared" si="15"/>
        <v>0</v>
      </c>
    </row>
    <row r="415" spans="1:18">
      <c r="A415" s="2">
        <v>45857</v>
      </c>
      <c r="B415" s="4">
        <v>30.4</v>
      </c>
      <c r="C415" s="4">
        <v>26.45</v>
      </c>
      <c r="I415" s="4">
        <v>14.10708333333333</v>
      </c>
      <c r="K415" s="6">
        <v>0</v>
      </c>
      <c r="L415" s="4">
        <v>0</v>
      </c>
      <c r="M415" s="4">
        <v>0</v>
      </c>
      <c r="N415" s="8">
        <f t="shared" si="16"/>
        <v>0</v>
      </c>
      <c r="Q415" s="4">
        <v>30559.5</v>
      </c>
      <c r="R415">
        <f t="shared" si="15"/>
        <v>0</v>
      </c>
    </row>
    <row r="416" spans="1:18">
      <c r="A416" s="2">
        <v>45858</v>
      </c>
      <c r="B416" s="4">
        <v>31.58</v>
      </c>
      <c r="C416" s="4">
        <v>26.04</v>
      </c>
      <c r="I416" s="4">
        <v>14.665416666666671</v>
      </c>
      <c r="K416" s="6">
        <v>0</v>
      </c>
      <c r="L416" s="4">
        <v>0</v>
      </c>
      <c r="M416" s="4">
        <v>0</v>
      </c>
      <c r="N416" s="8">
        <f t="shared" si="16"/>
        <v>0</v>
      </c>
      <c r="Q416" s="4">
        <v>30559.5</v>
      </c>
      <c r="R416">
        <f t="shared" si="15"/>
        <v>0</v>
      </c>
    </row>
    <row r="417" spans="1:18">
      <c r="A417" s="2">
        <v>45859</v>
      </c>
      <c r="B417" s="4">
        <v>31.06</v>
      </c>
      <c r="C417" s="4">
        <v>25.2</v>
      </c>
      <c r="I417" s="4">
        <v>16.993749999999999</v>
      </c>
      <c r="K417" s="6">
        <v>0</v>
      </c>
      <c r="L417" s="4">
        <v>0</v>
      </c>
      <c r="M417" s="4">
        <v>0</v>
      </c>
      <c r="N417" s="8">
        <f t="shared" si="16"/>
        <v>0</v>
      </c>
      <c r="Q417" s="4">
        <v>30559.5</v>
      </c>
      <c r="R417">
        <f t="shared" si="15"/>
        <v>0</v>
      </c>
    </row>
    <row r="418" spans="1:18">
      <c r="A418" s="2">
        <v>45860</v>
      </c>
      <c r="B418" s="4">
        <v>33.33</v>
      </c>
      <c r="C418" s="4">
        <v>25.02</v>
      </c>
      <c r="I418" s="4">
        <v>18.075833333333328</v>
      </c>
      <c r="K418" s="6">
        <v>0</v>
      </c>
      <c r="L418" s="4">
        <v>0</v>
      </c>
      <c r="M418" s="4">
        <v>0</v>
      </c>
      <c r="N418" s="8">
        <f t="shared" si="16"/>
        <v>0</v>
      </c>
      <c r="Q418" s="4">
        <v>30559.5</v>
      </c>
      <c r="R418">
        <f t="shared" si="15"/>
        <v>0</v>
      </c>
    </row>
    <row r="419" spans="1:18">
      <c r="A419" s="2">
        <v>45861</v>
      </c>
      <c r="B419" s="4">
        <v>34.21</v>
      </c>
      <c r="C419" s="4">
        <v>25.86</v>
      </c>
      <c r="I419" s="4">
        <v>16.827500000000001</v>
      </c>
      <c r="K419" s="6">
        <v>0</v>
      </c>
      <c r="L419" s="4">
        <v>0</v>
      </c>
      <c r="M419" s="4">
        <v>0</v>
      </c>
      <c r="N419" s="8">
        <f t="shared" si="16"/>
        <v>0</v>
      </c>
      <c r="Q419" s="4">
        <v>30559.5</v>
      </c>
      <c r="R419">
        <f t="shared" si="15"/>
        <v>0</v>
      </c>
    </row>
    <row r="420" spans="1:18">
      <c r="A420" s="2">
        <v>45862</v>
      </c>
      <c r="B420" s="4">
        <v>34.619999999999997</v>
      </c>
      <c r="C420" s="4">
        <v>26.85</v>
      </c>
      <c r="I420" s="4">
        <v>15.614166666666669</v>
      </c>
      <c r="K420" s="6">
        <v>0</v>
      </c>
      <c r="L420" s="4">
        <v>0</v>
      </c>
      <c r="M420" s="4">
        <v>0</v>
      </c>
      <c r="N420" s="8">
        <f t="shared" si="16"/>
        <v>0</v>
      </c>
      <c r="Q420" s="4">
        <v>30559.5</v>
      </c>
      <c r="R420">
        <f t="shared" si="15"/>
        <v>0</v>
      </c>
    </row>
    <row r="421" spans="1:18">
      <c r="A421" s="2">
        <v>45863</v>
      </c>
      <c r="B421" s="4">
        <v>32.67</v>
      </c>
      <c r="C421" s="4">
        <v>26.85</v>
      </c>
      <c r="I421" s="4">
        <v>14.64625</v>
      </c>
      <c r="K421" s="6">
        <v>0</v>
      </c>
      <c r="L421" s="4">
        <v>0</v>
      </c>
      <c r="M421" s="4">
        <v>0</v>
      </c>
      <c r="N421" s="8">
        <f t="shared" si="16"/>
        <v>0</v>
      </c>
      <c r="Q421" s="4">
        <v>30559.5</v>
      </c>
      <c r="R421">
        <f t="shared" si="15"/>
        <v>0</v>
      </c>
    </row>
    <row r="422" spans="1:18">
      <c r="A422" s="2">
        <v>45864</v>
      </c>
      <c r="B422" s="4">
        <v>31.28</v>
      </c>
      <c r="C422" s="4">
        <v>25.75</v>
      </c>
      <c r="I422" s="4">
        <v>24.99208333333333</v>
      </c>
      <c r="K422" s="6">
        <v>0</v>
      </c>
      <c r="L422" s="4">
        <v>0</v>
      </c>
      <c r="M422" s="4">
        <v>0</v>
      </c>
      <c r="N422" s="8">
        <f t="shared" si="16"/>
        <v>0</v>
      </c>
      <c r="Q422" s="4">
        <v>30559.5</v>
      </c>
      <c r="R422">
        <f t="shared" si="15"/>
        <v>0</v>
      </c>
    </row>
    <row r="423" spans="1:18">
      <c r="A423" s="2">
        <v>45865</v>
      </c>
      <c r="B423" s="4">
        <v>32.67</v>
      </c>
      <c r="C423" s="4">
        <v>26.59</v>
      </c>
      <c r="I423" s="4">
        <v>28.943333333333332</v>
      </c>
      <c r="K423" s="6">
        <v>0</v>
      </c>
      <c r="L423" s="4">
        <v>0</v>
      </c>
      <c r="M423" s="4">
        <v>0</v>
      </c>
      <c r="N423" s="8">
        <f t="shared" si="16"/>
        <v>0</v>
      </c>
      <c r="Q423" s="4">
        <v>30559.5</v>
      </c>
      <c r="R423">
        <f t="shared" si="15"/>
        <v>0</v>
      </c>
    </row>
    <row r="424" spans="1:18">
      <c r="A424" s="2">
        <v>45866</v>
      </c>
      <c r="B424" s="4">
        <v>27.66</v>
      </c>
      <c r="C424" s="4">
        <v>24.32</v>
      </c>
      <c r="I424" s="4">
        <v>31.065000000000001</v>
      </c>
      <c r="K424" s="6">
        <v>0</v>
      </c>
      <c r="L424" s="4">
        <v>0</v>
      </c>
      <c r="M424" s="4">
        <v>0</v>
      </c>
      <c r="N424" s="8">
        <f t="shared" si="16"/>
        <v>0</v>
      </c>
      <c r="Q424" s="4">
        <v>30559.5</v>
      </c>
      <c r="R424">
        <f t="shared" si="15"/>
        <v>0</v>
      </c>
    </row>
    <row r="425" spans="1:18">
      <c r="A425" s="2">
        <v>45867</v>
      </c>
      <c r="B425" s="4">
        <v>31.06</v>
      </c>
      <c r="C425" s="4">
        <v>24.73</v>
      </c>
      <c r="I425" s="4">
        <v>30.64</v>
      </c>
      <c r="K425" s="6">
        <v>0</v>
      </c>
      <c r="L425" s="4">
        <v>0</v>
      </c>
      <c r="M425" s="4">
        <v>0</v>
      </c>
      <c r="N425" s="8">
        <f t="shared" si="16"/>
        <v>0</v>
      </c>
      <c r="Q425" s="4">
        <v>30559.5</v>
      </c>
      <c r="R425">
        <f t="shared" si="15"/>
        <v>0</v>
      </c>
    </row>
    <row r="426" spans="1:18">
      <c r="A426" s="2">
        <v>45868</v>
      </c>
      <c r="B426" s="4">
        <v>31.61</v>
      </c>
      <c r="C426" s="4">
        <v>25.64</v>
      </c>
      <c r="I426" s="4">
        <v>30.99291666666667</v>
      </c>
      <c r="K426" s="6">
        <v>0</v>
      </c>
      <c r="L426" s="4">
        <v>0</v>
      </c>
      <c r="M426" s="4">
        <v>0</v>
      </c>
      <c r="N426" s="8">
        <f t="shared" si="16"/>
        <v>0</v>
      </c>
      <c r="Q426" s="4">
        <v>30559.5</v>
      </c>
      <c r="R426">
        <f t="shared" si="15"/>
        <v>0</v>
      </c>
    </row>
    <row r="427" spans="1:18">
      <c r="A427" s="2">
        <v>45869</v>
      </c>
      <c r="B427" s="4">
        <v>30.7</v>
      </c>
      <c r="C427" s="4">
        <v>27.88</v>
      </c>
      <c r="I427" s="4">
        <v>30.055</v>
      </c>
      <c r="K427" s="6">
        <v>0</v>
      </c>
      <c r="L427" s="4">
        <v>0</v>
      </c>
      <c r="M427" s="4">
        <v>0</v>
      </c>
      <c r="N427" s="8">
        <f t="shared" si="16"/>
        <v>0</v>
      </c>
      <c r="P427" s="4">
        <v>312</v>
      </c>
      <c r="Q427" s="4">
        <v>30559.5</v>
      </c>
      <c r="R427">
        <f t="shared" si="15"/>
        <v>0</v>
      </c>
    </row>
    <row r="428" spans="1:18">
      <c r="A428" s="2">
        <v>45870</v>
      </c>
      <c r="B428" s="4">
        <v>30.26</v>
      </c>
      <c r="C428" s="4">
        <v>26.3</v>
      </c>
      <c r="I428" s="4">
        <v>29.964166666666671</v>
      </c>
      <c r="K428" s="6">
        <v>0</v>
      </c>
      <c r="L428" s="4">
        <v>0</v>
      </c>
      <c r="M428" s="4">
        <v>0</v>
      </c>
      <c r="N428" s="8">
        <f t="shared" si="16"/>
        <v>0</v>
      </c>
      <c r="P428" s="4">
        <v>16936</v>
      </c>
      <c r="Q428" s="4">
        <v>30559.5</v>
      </c>
      <c r="R428">
        <f t="shared" si="15"/>
        <v>0</v>
      </c>
    </row>
    <row r="429" spans="1:18">
      <c r="A429" s="2">
        <v>45871</v>
      </c>
      <c r="B429" s="4">
        <v>27.77</v>
      </c>
      <c r="C429" s="4">
        <v>24.65</v>
      </c>
      <c r="I429" s="4">
        <v>31.5075</v>
      </c>
      <c r="K429" s="6">
        <v>0</v>
      </c>
      <c r="L429" s="4">
        <v>0</v>
      </c>
      <c r="M429" s="4">
        <v>0</v>
      </c>
      <c r="N429" s="8">
        <f t="shared" si="16"/>
        <v>0</v>
      </c>
      <c r="Q429" s="4">
        <v>30559.5</v>
      </c>
      <c r="R429">
        <f t="shared" si="15"/>
        <v>0</v>
      </c>
    </row>
    <row r="430" spans="1:18">
      <c r="A430" s="2">
        <v>45872</v>
      </c>
      <c r="B430" s="4">
        <v>27.73</v>
      </c>
      <c r="C430" s="4">
        <v>24.62</v>
      </c>
      <c r="I430" s="4">
        <v>32.387916666666662</v>
      </c>
      <c r="K430" s="6">
        <v>0</v>
      </c>
      <c r="L430" s="4">
        <v>0</v>
      </c>
      <c r="M430" s="4">
        <v>0</v>
      </c>
      <c r="N430" s="8">
        <f t="shared" si="16"/>
        <v>0</v>
      </c>
      <c r="Q430" s="4">
        <v>30559.5</v>
      </c>
      <c r="R430">
        <f t="shared" si="15"/>
        <v>0</v>
      </c>
    </row>
    <row r="431" spans="1:18">
      <c r="A431" s="2">
        <v>45873</v>
      </c>
      <c r="B431" s="4">
        <v>26.78</v>
      </c>
      <c r="C431" s="4">
        <v>24.03</v>
      </c>
      <c r="I431" s="4">
        <v>32.429583333333333</v>
      </c>
      <c r="K431" s="6">
        <v>0</v>
      </c>
      <c r="L431" s="4">
        <v>0</v>
      </c>
      <c r="M431" s="4">
        <v>0</v>
      </c>
      <c r="N431" s="8">
        <f t="shared" si="16"/>
        <v>0</v>
      </c>
      <c r="Q431" s="4">
        <v>30559.5</v>
      </c>
      <c r="R431">
        <f t="shared" si="15"/>
        <v>0</v>
      </c>
    </row>
    <row r="432" spans="1:18">
      <c r="A432" s="2">
        <v>45874</v>
      </c>
      <c r="B432" s="4">
        <v>30.84</v>
      </c>
      <c r="C432" s="4">
        <v>24.91</v>
      </c>
      <c r="I432" s="4">
        <v>32.023333333333333</v>
      </c>
      <c r="K432" s="6">
        <v>0</v>
      </c>
      <c r="L432" s="4">
        <v>0</v>
      </c>
      <c r="M432" s="4">
        <v>0</v>
      </c>
      <c r="N432" s="8">
        <f t="shared" si="16"/>
        <v>0</v>
      </c>
      <c r="Q432" s="4">
        <v>30559.5</v>
      </c>
      <c r="R432">
        <f t="shared" si="15"/>
        <v>0</v>
      </c>
    </row>
    <row r="433" spans="1:18">
      <c r="A433" s="2">
        <v>45875</v>
      </c>
      <c r="B433" s="4">
        <v>33.74</v>
      </c>
      <c r="C433" s="4">
        <v>26.41</v>
      </c>
      <c r="I433" s="4">
        <v>28.232500000000002</v>
      </c>
      <c r="K433" s="6">
        <v>0</v>
      </c>
      <c r="L433" s="4">
        <v>0</v>
      </c>
      <c r="M433" s="4">
        <v>0</v>
      </c>
      <c r="N433" s="8">
        <f t="shared" si="16"/>
        <v>0</v>
      </c>
      <c r="Q433" s="4">
        <v>30559.5</v>
      </c>
      <c r="R433">
        <f t="shared" si="15"/>
        <v>0</v>
      </c>
    </row>
    <row r="434" spans="1:18">
      <c r="A434" s="2">
        <v>45876</v>
      </c>
      <c r="B434" s="4">
        <v>33.700000000000003</v>
      </c>
      <c r="C434" s="4">
        <v>25.79</v>
      </c>
      <c r="I434" s="4">
        <v>25.517083333333328</v>
      </c>
      <c r="K434" s="6">
        <v>0</v>
      </c>
      <c r="L434" s="4">
        <v>0</v>
      </c>
      <c r="M434" s="4">
        <v>0</v>
      </c>
      <c r="N434" s="8">
        <f t="shared" si="16"/>
        <v>0</v>
      </c>
      <c r="Q434" s="4">
        <v>30559.5</v>
      </c>
      <c r="R434">
        <f t="shared" si="15"/>
        <v>0</v>
      </c>
    </row>
    <row r="435" spans="1:18">
      <c r="A435" s="2">
        <v>45877</v>
      </c>
      <c r="B435" s="4">
        <v>32.64</v>
      </c>
      <c r="C435" s="4">
        <v>25.64</v>
      </c>
      <c r="I435" s="4">
        <v>23.47708333333334</v>
      </c>
      <c r="K435" s="6">
        <v>0</v>
      </c>
      <c r="L435" s="4">
        <v>0</v>
      </c>
      <c r="M435" s="4">
        <v>0</v>
      </c>
      <c r="N435" s="8">
        <f t="shared" si="16"/>
        <v>0</v>
      </c>
      <c r="Q435" s="4">
        <v>30559.5</v>
      </c>
      <c r="R435">
        <f t="shared" si="15"/>
        <v>0</v>
      </c>
    </row>
    <row r="436" spans="1:18">
      <c r="A436" s="2">
        <v>45878</v>
      </c>
      <c r="B436" s="4">
        <v>33.700000000000003</v>
      </c>
      <c r="C436" s="4">
        <v>26.19</v>
      </c>
      <c r="I436" s="4">
        <v>21.729166666666671</v>
      </c>
      <c r="K436" s="6">
        <v>0</v>
      </c>
      <c r="L436" s="4">
        <v>0</v>
      </c>
      <c r="M436" s="4">
        <v>0</v>
      </c>
      <c r="N436" s="8">
        <f t="shared" si="16"/>
        <v>0</v>
      </c>
      <c r="Q436" s="4">
        <v>30559.5</v>
      </c>
      <c r="R436">
        <f t="shared" si="15"/>
        <v>0</v>
      </c>
    </row>
    <row r="437" spans="1:18">
      <c r="A437" s="2">
        <v>45879</v>
      </c>
      <c r="B437" s="4">
        <v>33.15</v>
      </c>
      <c r="C437" s="4">
        <v>26.96</v>
      </c>
      <c r="I437" s="4">
        <v>19.97291666666667</v>
      </c>
      <c r="K437" s="6">
        <v>0</v>
      </c>
      <c r="L437" s="4">
        <v>0</v>
      </c>
      <c r="M437" s="4">
        <v>0</v>
      </c>
      <c r="N437" s="8">
        <f t="shared" si="16"/>
        <v>0</v>
      </c>
      <c r="Q437" s="4">
        <v>30559.5</v>
      </c>
      <c r="R437">
        <f t="shared" si="15"/>
        <v>0</v>
      </c>
    </row>
    <row r="438" spans="1:18">
      <c r="A438" s="2">
        <v>45880</v>
      </c>
      <c r="B438" s="4">
        <v>34.03</v>
      </c>
      <c r="C438" s="4">
        <v>26.56</v>
      </c>
      <c r="I438" s="4">
        <v>18.10083333333333</v>
      </c>
      <c r="K438" s="6">
        <v>0</v>
      </c>
      <c r="L438" s="4">
        <v>0</v>
      </c>
      <c r="M438" s="4">
        <v>0</v>
      </c>
      <c r="N438" s="8">
        <f t="shared" si="16"/>
        <v>0</v>
      </c>
      <c r="Q438" s="4">
        <v>30559.5</v>
      </c>
      <c r="R438">
        <f t="shared" si="15"/>
        <v>0</v>
      </c>
    </row>
    <row r="439" spans="1:18">
      <c r="A439" s="2">
        <v>45881</v>
      </c>
      <c r="B439" s="4">
        <v>33.880000000000003</v>
      </c>
      <c r="C439" s="4">
        <v>26.59</v>
      </c>
      <c r="I439" s="4">
        <v>7.1358333333333333</v>
      </c>
      <c r="K439" s="6">
        <v>0</v>
      </c>
      <c r="L439" s="4">
        <v>0</v>
      </c>
      <c r="M439" s="4">
        <v>0</v>
      </c>
      <c r="N439" s="8">
        <f t="shared" si="16"/>
        <v>0</v>
      </c>
      <c r="Q439" s="4">
        <v>30559.5</v>
      </c>
      <c r="R439">
        <f t="shared" si="15"/>
        <v>0</v>
      </c>
    </row>
    <row r="440" spans="1:18">
      <c r="A440" s="2">
        <v>45882</v>
      </c>
      <c r="B440" s="4">
        <v>33.590000000000003</v>
      </c>
      <c r="C440" s="4">
        <v>26.15</v>
      </c>
      <c r="I440" s="4">
        <v>0</v>
      </c>
      <c r="K440" s="6">
        <v>0</v>
      </c>
      <c r="L440" s="4">
        <v>0</v>
      </c>
      <c r="M440" s="4">
        <v>0</v>
      </c>
      <c r="N440" s="8">
        <f t="shared" si="16"/>
        <v>0</v>
      </c>
      <c r="Q440" s="4">
        <v>30559.5</v>
      </c>
      <c r="R440">
        <f t="shared" si="15"/>
        <v>0</v>
      </c>
    </row>
    <row r="441" spans="1:18">
      <c r="A441" s="2">
        <v>45883</v>
      </c>
      <c r="B441" s="4">
        <v>35.31</v>
      </c>
      <c r="C441" s="4">
        <v>26.3</v>
      </c>
      <c r="I441" s="4">
        <v>0</v>
      </c>
      <c r="K441" s="6">
        <v>0</v>
      </c>
      <c r="L441" s="4">
        <v>0</v>
      </c>
      <c r="M441" s="4">
        <v>0</v>
      </c>
      <c r="N441" s="8">
        <f t="shared" si="16"/>
        <v>0</v>
      </c>
      <c r="Q441" s="4">
        <v>30559.5</v>
      </c>
      <c r="R441">
        <f t="shared" si="15"/>
        <v>0</v>
      </c>
    </row>
    <row r="442" spans="1:18">
      <c r="A442" s="2">
        <v>45884</v>
      </c>
      <c r="B442" s="4">
        <v>34.1</v>
      </c>
      <c r="C442" s="4">
        <v>25.82</v>
      </c>
      <c r="I442" s="4">
        <v>0</v>
      </c>
      <c r="K442" s="6">
        <v>0</v>
      </c>
      <c r="L442" s="4">
        <v>0</v>
      </c>
      <c r="M442" s="4">
        <v>0</v>
      </c>
      <c r="N442" s="8">
        <f t="shared" si="16"/>
        <v>0</v>
      </c>
      <c r="Q442" s="4">
        <v>30559.5</v>
      </c>
      <c r="R442">
        <f t="shared" si="15"/>
        <v>0</v>
      </c>
    </row>
    <row r="443" spans="1:18">
      <c r="A443" s="2">
        <v>45885</v>
      </c>
      <c r="B443" s="4">
        <v>35.130000000000003</v>
      </c>
      <c r="C443" s="4">
        <v>26.01</v>
      </c>
      <c r="I443" s="4">
        <v>0</v>
      </c>
      <c r="K443" s="6">
        <v>0</v>
      </c>
      <c r="L443" s="4">
        <v>0</v>
      </c>
      <c r="M443" s="4">
        <v>0</v>
      </c>
      <c r="N443" s="8">
        <f t="shared" si="16"/>
        <v>0</v>
      </c>
      <c r="Q443" s="4">
        <v>30559.5</v>
      </c>
      <c r="R443">
        <f t="shared" si="15"/>
        <v>0</v>
      </c>
    </row>
    <row r="444" spans="1:18">
      <c r="A444" s="2">
        <v>45886</v>
      </c>
      <c r="B444" s="4">
        <v>35.42</v>
      </c>
      <c r="C444" s="4">
        <v>26.3</v>
      </c>
      <c r="I444" s="4">
        <v>0</v>
      </c>
      <c r="K444" s="6">
        <v>0</v>
      </c>
      <c r="L444" s="4">
        <v>0</v>
      </c>
      <c r="M444" s="4">
        <v>0</v>
      </c>
      <c r="N444" s="8">
        <f t="shared" si="16"/>
        <v>0</v>
      </c>
      <c r="Q444" s="4">
        <v>30559.5</v>
      </c>
      <c r="R444">
        <f t="shared" si="15"/>
        <v>0</v>
      </c>
    </row>
    <row r="445" spans="1:18">
      <c r="A445" s="2">
        <v>45887</v>
      </c>
      <c r="B445" s="4">
        <v>33.96</v>
      </c>
      <c r="C445" s="4">
        <v>26.7</v>
      </c>
      <c r="I445" s="4">
        <v>0</v>
      </c>
      <c r="K445" s="6">
        <v>0</v>
      </c>
      <c r="L445" s="4">
        <v>0</v>
      </c>
      <c r="M445" s="4">
        <v>0</v>
      </c>
      <c r="N445" s="8">
        <f t="shared" si="16"/>
        <v>0</v>
      </c>
      <c r="Q445" s="4">
        <v>30559.5</v>
      </c>
      <c r="R445">
        <f t="shared" si="15"/>
        <v>0</v>
      </c>
    </row>
    <row r="446" spans="1:18">
      <c r="A446" s="2">
        <v>45888</v>
      </c>
      <c r="B446" s="4">
        <v>34.1</v>
      </c>
      <c r="C446" s="4">
        <v>25.64</v>
      </c>
      <c r="I446" s="4">
        <v>0</v>
      </c>
      <c r="K446" s="6">
        <v>0</v>
      </c>
      <c r="L446" s="4">
        <v>0</v>
      </c>
      <c r="M446" s="4">
        <v>0</v>
      </c>
      <c r="N446" s="8">
        <f t="shared" si="16"/>
        <v>0</v>
      </c>
      <c r="Q446" s="4">
        <v>30559.5</v>
      </c>
      <c r="R446">
        <f t="shared" si="15"/>
        <v>0</v>
      </c>
    </row>
    <row r="447" spans="1:18">
      <c r="A447" s="2">
        <v>45889</v>
      </c>
      <c r="B447" s="4">
        <v>33.15</v>
      </c>
      <c r="C447" s="4">
        <v>22.78</v>
      </c>
      <c r="I447" s="4">
        <v>0</v>
      </c>
      <c r="K447" s="6">
        <v>0</v>
      </c>
      <c r="L447" s="4">
        <v>0</v>
      </c>
      <c r="M447" s="4">
        <v>755.7</v>
      </c>
      <c r="N447" s="8">
        <f t="shared" si="16"/>
        <v>484.40000000000146</v>
      </c>
      <c r="Q447" s="4">
        <v>31043.9</v>
      </c>
      <c r="R447">
        <f t="shared" si="15"/>
        <v>0.62909090909091103</v>
      </c>
    </row>
    <row r="448" spans="1:18">
      <c r="A448" s="2">
        <v>45890</v>
      </c>
      <c r="B448" s="4">
        <v>32.89</v>
      </c>
      <c r="C448" s="4">
        <v>24.21</v>
      </c>
      <c r="I448" s="4">
        <v>0</v>
      </c>
      <c r="K448" s="6">
        <v>0</v>
      </c>
      <c r="L448" s="4">
        <v>0</v>
      </c>
      <c r="M448" s="4">
        <v>0</v>
      </c>
      <c r="N448" s="8">
        <f t="shared" si="16"/>
        <v>0</v>
      </c>
      <c r="Q448" s="4">
        <v>31043.9</v>
      </c>
      <c r="R448">
        <f t="shared" si="15"/>
        <v>0</v>
      </c>
    </row>
    <row r="449" spans="1:18">
      <c r="A449" s="2">
        <v>45891</v>
      </c>
      <c r="B449" s="4">
        <v>34.51</v>
      </c>
      <c r="C449" s="4">
        <v>25.93</v>
      </c>
      <c r="I449" s="4">
        <v>0</v>
      </c>
      <c r="K449" s="6">
        <v>0</v>
      </c>
      <c r="L449" s="4">
        <v>0</v>
      </c>
      <c r="M449" s="4">
        <v>0</v>
      </c>
      <c r="N449" s="8">
        <f t="shared" si="16"/>
        <v>0</v>
      </c>
      <c r="Q449" s="4">
        <v>31043.9</v>
      </c>
      <c r="R449">
        <f t="shared" si="15"/>
        <v>0</v>
      </c>
    </row>
    <row r="450" spans="1:18">
      <c r="A450" s="2">
        <v>45892</v>
      </c>
      <c r="B450" s="4">
        <v>34.43</v>
      </c>
      <c r="C450" s="4">
        <v>26.7</v>
      </c>
      <c r="I450" s="4">
        <v>0</v>
      </c>
      <c r="K450" s="6">
        <v>0</v>
      </c>
      <c r="L450" s="4">
        <v>0</v>
      </c>
      <c r="M450" s="4">
        <v>0</v>
      </c>
      <c r="N450" s="8">
        <f t="shared" si="16"/>
        <v>0</v>
      </c>
      <c r="Q450" s="4">
        <v>31043.9</v>
      </c>
      <c r="R450">
        <f t="shared" si="15"/>
        <v>0</v>
      </c>
    </row>
    <row r="451" spans="1:18">
      <c r="A451" s="2">
        <v>45893</v>
      </c>
      <c r="B451" s="4">
        <v>34.1</v>
      </c>
      <c r="C451" s="4">
        <v>24.98</v>
      </c>
      <c r="I451" s="4">
        <v>0</v>
      </c>
      <c r="K451" s="6">
        <v>0</v>
      </c>
      <c r="L451" s="4">
        <v>0</v>
      </c>
      <c r="M451" s="4">
        <v>0</v>
      </c>
      <c r="N451" s="8">
        <f t="shared" si="16"/>
        <v>0</v>
      </c>
      <c r="Q451" s="4">
        <v>31043.9</v>
      </c>
      <c r="R451">
        <f t="shared" ref="R451:R513" si="17">N451/770</f>
        <v>0</v>
      </c>
    </row>
    <row r="452" spans="1:18">
      <c r="A452" s="2">
        <v>45894</v>
      </c>
      <c r="B452" s="4">
        <v>35.200000000000003</v>
      </c>
      <c r="C452" s="4">
        <v>24.87</v>
      </c>
      <c r="I452" s="4">
        <v>0</v>
      </c>
      <c r="K452" s="6">
        <v>0</v>
      </c>
      <c r="L452" s="4">
        <v>0</v>
      </c>
      <c r="M452" s="4">
        <v>0</v>
      </c>
      <c r="N452" s="8">
        <f t="shared" si="16"/>
        <v>0</v>
      </c>
      <c r="Q452" s="4">
        <v>31043.9</v>
      </c>
      <c r="R452">
        <f t="shared" si="17"/>
        <v>0</v>
      </c>
    </row>
    <row r="453" spans="1:18">
      <c r="A453" s="2">
        <v>45895</v>
      </c>
      <c r="B453" s="4">
        <v>34.18</v>
      </c>
      <c r="C453" s="4">
        <v>26.04</v>
      </c>
      <c r="I453" s="4">
        <v>0</v>
      </c>
      <c r="K453" s="6">
        <v>0</v>
      </c>
      <c r="L453" s="4">
        <v>0</v>
      </c>
      <c r="M453" s="4">
        <v>0</v>
      </c>
      <c r="N453" s="8">
        <f t="shared" si="16"/>
        <v>0</v>
      </c>
      <c r="Q453" s="4">
        <v>31043.9</v>
      </c>
      <c r="R453">
        <f t="shared" si="17"/>
        <v>0</v>
      </c>
    </row>
    <row r="454" spans="1:18">
      <c r="A454" s="2">
        <v>45896</v>
      </c>
      <c r="B454" s="4">
        <v>32.93</v>
      </c>
      <c r="C454" s="4">
        <v>25.68</v>
      </c>
      <c r="I454" s="4">
        <v>0</v>
      </c>
      <c r="K454" s="6">
        <v>0</v>
      </c>
      <c r="L454" s="4">
        <v>0</v>
      </c>
      <c r="M454" s="4">
        <v>0</v>
      </c>
      <c r="N454" s="8">
        <f t="shared" si="16"/>
        <v>0</v>
      </c>
      <c r="Q454" s="4">
        <v>31043.9</v>
      </c>
      <c r="R454">
        <f t="shared" si="17"/>
        <v>0</v>
      </c>
    </row>
    <row r="455" spans="1:18">
      <c r="A455" s="2">
        <v>45897</v>
      </c>
      <c r="B455" s="4">
        <v>34.07</v>
      </c>
      <c r="C455" s="4">
        <v>26.04</v>
      </c>
      <c r="I455" s="4">
        <v>0</v>
      </c>
      <c r="K455" s="6">
        <v>0</v>
      </c>
      <c r="L455" s="4">
        <v>0</v>
      </c>
      <c r="M455" s="4">
        <v>0</v>
      </c>
      <c r="N455" s="8">
        <f t="shared" si="16"/>
        <v>0</v>
      </c>
      <c r="Q455" s="4">
        <v>31043.9</v>
      </c>
      <c r="R455">
        <f t="shared" si="17"/>
        <v>0</v>
      </c>
    </row>
    <row r="456" spans="1:18">
      <c r="A456" s="2">
        <v>45898</v>
      </c>
      <c r="B456" s="4">
        <v>35.68</v>
      </c>
      <c r="C456" s="4">
        <v>26.19</v>
      </c>
      <c r="I456" s="4">
        <v>0</v>
      </c>
      <c r="K456" s="6">
        <v>0</v>
      </c>
      <c r="L456" s="4">
        <v>0</v>
      </c>
      <c r="M456" s="4">
        <v>0</v>
      </c>
      <c r="N456" s="8">
        <f t="shared" si="16"/>
        <v>0</v>
      </c>
      <c r="Q456" s="4">
        <v>31043.9</v>
      </c>
      <c r="R456">
        <f t="shared" si="17"/>
        <v>0</v>
      </c>
    </row>
    <row r="457" spans="1:18">
      <c r="A457" s="2">
        <v>45899</v>
      </c>
      <c r="B457" s="4">
        <v>34.76</v>
      </c>
      <c r="C457" s="4">
        <v>26.7</v>
      </c>
      <c r="I457" s="4">
        <v>0</v>
      </c>
      <c r="K457" s="6">
        <v>0</v>
      </c>
      <c r="L457" s="4">
        <v>0</v>
      </c>
      <c r="M457" s="4">
        <v>0</v>
      </c>
      <c r="N457" s="8">
        <f t="shared" si="16"/>
        <v>0</v>
      </c>
      <c r="Q457" s="4">
        <v>31043.9</v>
      </c>
      <c r="R457">
        <f t="shared" si="17"/>
        <v>0</v>
      </c>
    </row>
    <row r="458" spans="1:18">
      <c r="A458" s="2">
        <v>45900</v>
      </c>
      <c r="B458" s="4">
        <v>33.96</v>
      </c>
      <c r="C458" s="4">
        <v>26.08</v>
      </c>
      <c r="I458" s="4">
        <v>0</v>
      </c>
      <c r="K458" s="6">
        <v>0</v>
      </c>
      <c r="L458" s="4">
        <v>0</v>
      </c>
      <c r="M458" s="4">
        <v>246.6</v>
      </c>
      <c r="N458" s="8">
        <f t="shared" si="16"/>
        <v>140.39999999999782</v>
      </c>
      <c r="Q458" s="4">
        <v>31184.3</v>
      </c>
      <c r="R458">
        <f t="shared" si="17"/>
        <v>0.1823376623376595</v>
      </c>
    </row>
    <row r="459" spans="1:18">
      <c r="A459" s="2">
        <v>45901</v>
      </c>
      <c r="B459" s="4">
        <v>32.93</v>
      </c>
      <c r="C459" s="4">
        <v>27</v>
      </c>
      <c r="I459" s="4">
        <v>0</v>
      </c>
      <c r="K459" s="6">
        <v>0</v>
      </c>
      <c r="L459" s="4">
        <v>0</v>
      </c>
      <c r="M459" s="4">
        <v>0</v>
      </c>
      <c r="N459" s="8">
        <f t="shared" si="16"/>
        <v>0</v>
      </c>
      <c r="Q459" s="4">
        <v>31184.3</v>
      </c>
      <c r="R459">
        <f t="shared" si="17"/>
        <v>0</v>
      </c>
    </row>
    <row r="460" spans="1:18">
      <c r="A460" s="2">
        <v>45902</v>
      </c>
      <c r="B460" s="4">
        <v>31.61</v>
      </c>
      <c r="C460" s="4">
        <v>26.45</v>
      </c>
      <c r="I460" s="4">
        <v>0</v>
      </c>
      <c r="K460" s="6">
        <v>0</v>
      </c>
      <c r="L460" s="4">
        <v>0</v>
      </c>
      <c r="M460" s="4">
        <v>0</v>
      </c>
      <c r="N460" s="8">
        <f t="shared" si="16"/>
        <v>0</v>
      </c>
      <c r="Q460" s="4">
        <v>31184.3</v>
      </c>
      <c r="R460">
        <f t="shared" si="17"/>
        <v>0</v>
      </c>
    </row>
    <row r="461" spans="1:18">
      <c r="A461" s="2">
        <v>45903</v>
      </c>
      <c r="B461" s="4">
        <v>33.770000000000003</v>
      </c>
      <c r="C461" s="4">
        <v>25.16</v>
      </c>
      <c r="I461" s="4">
        <v>0</v>
      </c>
      <c r="K461" s="6">
        <v>0</v>
      </c>
      <c r="L461" s="4">
        <v>0</v>
      </c>
      <c r="M461" s="4">
        <v>0</v>
      </c>
      <c r="N461" s="8">
        <f t="shared" si="16"/>
        <v>0</v>
      </c>
      <c r="Q461" s="4">
        <v>31184.3</v>
      </c>
      <c r="R461">
        <f t="shared" si="17"/>
        <v>0</v>
      </c>
    </row>
    <row r="462" spans="1:18">
      <c r="A462" s="2">
        <v>45904</v>
      </c>
      <c r="B462" s="4">
        <v>34.54</v>
      </c>
      <c r="C462" s="4">
        <v>26.08</v>
      </c>
      <c r="I462" s="4">
        <v>0</v>
      </c>
      <c r="K462" s="6">
        <v>0</v>
      </c>
      <c r="L462" s="4">
        <v>0</v>
      </c>
      <c r="M462" s="4">
        <v>0</v>
      </c>
      <c r="N462" s="8">
        <f t="shared" si="16"/>
        <v>0</v>
      </c>
      <c r="Q462" s="4">
        <v>31184.3</v>
      </c>
      <c r="R462">
        <f t="shared" si="17"/>
        <v>0</v>
      </c>
    </row>
    <row r="463" spans="1:18">
      <c r="A463" s="2">
        <v>45905</v>
      </c>
      <c r="B463" s="4">
        <v>34.4</v>
      </c>
      <c r="C463" s="4">
        <v>26.3</v>
      </c>
      <c r="I463" s="4">
        <v>0</v>
      </c>
      <c r="K463" s="6">
        <v>0</v>
      </c>
      <c r="L463" s="4">
        <v>0</v>
      </c>
      <c r="M463" s="4">
        <v>0</v>
      </c>
      <c r="N463" s="8">
        <f t="shared" si="16"/>
        <v>0</v>
      </c>
      <c r="Q463" s="4">
        <v>31184.3</v>
      </c>
      <c r="R463">
        <f t="shared" si="17"/>
        <v>0</v>
      </c>
    </row>
    <row r="464" spans="1:18">
      <c r="A464" s="2">
        <v>45906</v>
      </c>
      <c r="B464" s="4">
        <v>35.049999999999997</v>
      </c>
      <c r="C464" s="4">
        <v>26.89</v>
      </c>
      <c r="I464" s="4">
        <v>0</v>
      </c>
      <c r="K464" s="6">
        <v>0</v>
      </c>
      <c r="L464" s="4">
        <v>0</v>
      </c>
      <c r="M464" s="4">
        <v>0</v>
      </c>
      <c r="N464" s="8">
        <f t="shared" si="16"/>
        <v>0</v>
      </c>
      <c r="Q464" s="4">
        <v>31184.3</v>
      </c>
      <c r="R464">
        <f t="shared" si="17"/>
        <v>0</v>
      </c>
    </row>
    <row r="465" spans="1:18">
      <c r="A465" s="2">
        <v>45907</v>
      </c>
      <c r="B465" s="4">
        <v>34.36</v>
      </c>
      <c r="C465" s="4">
        <v>26.12</v>
      </c>
      <c r="I465" s="4">
        <v>0</v>
      </c>
      <c r="K465" s="6">
        <v>0</v>
      </c>
      <c r="L465" s="4">
        <v>0</v>
      </c>
      <c r="M465" s="4">
        <v>0</v>
      </c>
      <c r="N465" s="8">
        <f t="shared" si="16"/>
        <v>0</v>
      </c>
      <c r="Q465" s="4">
        <v>31184.3</v>
      </c>
      <c r="R465">
        <f t="shared" si="17"/>
        <v>0</v>
      </c>
    </row>
    <row r="466" spans="1:18">
      <c r="A466" s="2">
        <v>45908</v>
      </c>
      <c r="B466" s="4">
        <v>35.159999999999997</v>
      </c>
      <c r="C466" s="4">
        <v>25.42</v>
      </c>
      <c r="I466" s="4">
        <v>0</v>
      </c>
      <c r="K466" s="6">
        <v>0</v>
      </c>
      <c r="L466" s="4">
        <v>0</v>
      </c>
      <c r="M466" s="4">
        <v>0</v>
      </c>
      <c r="N466" s="8">
        <f t="shared" si="16"/>
        <v>0</v>
      </c>
      <c r="Q466" s="4">
        <v>31184.3</v>
      </c>
      <c r="R466">
        <f t="shared" si="17"/>
        <v>0</v>
      </c>
    </row>
    <row r="467" spans="1:18">
      <c r="A467" s="2">
        <v>45909</v>
      </c>
      <c r="B467" s="4">
        <v>35.049999999999997</v>
      </c>
      <c r="C467" s="4">
        <v>26.37</v>
      </c>
      <c r="I467" s="4">
        <v>0</v>
      </c>
      <c r="K467" s="6">
        <v>0</v>
      </c>
      <c r="L467" s="4">
        <v>0</v>
      </c>
      <c r="M467" s="4">
        <v>0</v>
      </c>
      <c r="N467" s="8">
        <f t="shared" si="16"/>
        <v>0</v>
      </c>
      <c r="Q467" s="4">
        <v>31184.3</v>
      </c>
      <c r="R467">
        <f t="shared" si="17"/>
        <v>0</v>
      </c>
    </row>
    <row r="468" spans="1:18">
      <c r="A468" s="2">
        <v>45910</v>
      </c>
      <c r="B468" s="4">
        <v>34.4</v>
      </c>
      <c r="C468" s="4">
        <v>25.64</v>
      </c>
      <c r="I468" s="4">
        <v>0</v>
      </c>
      <c r="K468" s="6">
        <v>0</v>
      </c>
      <c r="L468" s="4">
        <v>0</v>
      </c>
      <c r="M468" s="4">
        <v>0</v>
      </c>
      <c r="N468" s="8">
        <f t="shared" si="16"/>
        <v>0</v>
      </c>
      <c r="Q468" s="4">
        <v>31184.3</v>
      </c>
      <c r="R468">
        <f t="shared" si="17"/>
        <v>0</v>
      </c>
    </row>
    <row r="469" spans="1:18">
      <c r="A469" s="2">
        <v>45911</v>
      </c>
      <c r="B469" s="4">
        <v>33.479999999999997</v>
      </c>
      <c r="C469" s="4">
        <v>24.98</v>
      </c>
      <c r="I469" s="4">
        <v>0</v>
      </c>
      <c r="K469" s="6">
        <v>0</v>
      </c>
      <c r="L469" s="4">
        <v>0</v>
      </c>
      <c r="M469" s="4">
        <v>575.70000000000005</v>
      </c>
      <c r="N469" s="8">
        <f t="shared" si="16"/>
        <v>338.40000000000146</v>
      </c>
      <c r="Q469" s="4">
        <v>31522.7</v>
      </c>
      <c r="R469">
        <f t="shared" si="17"/>
        <v>0.43948051948052136</v>
      </c>
    </row>
    <row r="470" spans="1:18">
      <c r="A470" s="2">
        <v>45912</v>
      </c>
      <c r="B470" s="4">
        <v>33.99</v>
      </c>
      <c r="C470" s="4">
        <v>26.23</v>
      </c>
      <c r="I470" s="4">
        <v>0</v>
      </c>
      <c r="K470" s="6">
        <v>0</v>
      </c>
      <c r="L470" s="4">
        <v>0</v>
      </c>
      <c r="M470" s="4">
        <v>13104.1</v>
      </c>
      <c r="N470" s="8">
        <f t="shared" si="16"/>
        <v>21.5</v>
      </c>
      <c r="Q470" s="4">
        <v>31544.2</v>
      </c>
      <c r="R470">
        <f t="shared" si="17"/>
        <v>2.7922077922077921E-2</v>
      </c>
    </row>
    <row r="471" spans="1:18">
      <c r="A471" s="2">
        <v>45913</v>
      </c>
      <c r="B471" s="4">
        <v>34.4</v>
      </c>
      <c r="C471" s="4">
        <v>25.64</v>
      </c>
      <c r="I471" s="4">
        <v>0</v>
      </c>
      <c r="K471" s="6">
        <v>0</v>
      </c>
      <c r="L471" s="4">
        <v>0</v>
      </c>
      <c r="M471" s="4">
        <v>0</v>
      </c>
      <c r="N471" s="8">
        <f t="shared" si="16"/>
        <v>0</v>
      </c>
      <c r="Q471" s="4">
        <v>31544.2</v>
      </c>
      <c r="R471">
        <f t="shared" si="17"/>
        <v>0</v>
      </c>
    </row>
    <row r="472" spans="1:18">
      <c r="A472" s="2">
        <v>45914</v>
      </c>
      <c r="B472" s="4">
        <v>34.25</v>
      </c>
      <c r="C472" s="4">
        <v>26.23</v>
      </c>
      <c r="I472" s="4">
        <v>0</v>
      </c>
      <c r="K472" s="6">
        <v>0</v>
      </c>
      <c r="L472" s="4">
        <v>0</v>
      </c>
      <c r="M472" s="4">
        <v>0</v>
      </c>
      <c r="N472" s="8">
        <f t="shared" ref="N472:N519" si="18">Q472-Q471</f>
        <v>0</v>
      </c>
      <c r="Q472" s="4">
        <v>31544.2</v>
      </c>
      <c r="R472">
        <f t="shared" si="17"/>
        <v>0</v>
      </c>
    </row>
    <row r="473" spans="1:18">
      <c r="A473" s="2">
        <v>45915</v>
      </c>
      <c r="B473" s="4">
        <v>33.22</v>
      </c>
      <c r="C473" s="4">
        <v>25.31</v>
      </c>
      <c r="I473" s="4">
        <v>0</v>
      </c>
      <c r="K473" s="6">
        <v>0</v>
      </c>
      <c r="L473" s="4">
        <v>0</v>
      </c>
      <c r="M473" s="4">
        <v>0</v>
      </c>
      <c r="N473" s="8">
        <f t="shared" si="18"/>
        <v>0</v>
      </c>
      <c r="Q473" s="4">
        <v>31544.2</v>
      </c>
      <c r="R473">
        <f t="shared" si="17"/>
        <v>0</v>
      </c>
    </row>
    <row r="474" spans="1:18">
      <c r="A474" s="2">
        <v>45916</v>
      </c>
      <c r="B474" s="4">
        <v>35.42</v>
      </c>
      <c r="C474" s="4">
        <v>26.59</v>
      </c>
      <c r="I474" s="4">
        <v>0</v>
      </c>
      <c r="K474" s="6">
        <v>0</v>
      </c>
      <c r="L474" s="4">
        <v>0</v>
      </c>
      <c r="M474" s="4">
        <v>0</v>
      </c>
      <c r="N474" s="8">
        <f t="shared" si="18"/>
        <v>0</v>
      </c>
      <c r="Q474" s="4">
        <v>31544.2</v>
      </c>
      <c r="R474">
        <f t="shared" si="17"/>
        <v>0</v>
      </c>
    </row>
    <row r="475" spans="1:18">
      <c r="A475" s="2">
        <v>45917</v>
      </c>
      <c r="B475" s="4">
        <v>36.229999999999997</v>
      </c>
      <c r="C475" s="4">
        <v>27.55</v>
      </c>
      <c r="I475" s="4">
        <v>0</v>
      </c>
      <c r="K475" s="6">
        <v>0</v>
      </c>
      <c r="L475" s="4">
        <v>0</v>
      </c>
      <c r="M475" s="4">
        <v>0</v>
      </c>
      <c r="N475" s="8">
        <f t="shared" si="18"/>
        <v>0</v>
      </c>
      <c r="Q475" s="4">
        <v>31544.2</v>
      </c>
      <c r="R475">
        <f t="shared" si="17"/>
        <v>0</v>
      </c>
    </row>
    <row r="476" spans="1:18">
      <c r="A476" s="2">
        <v>45918</v>
      </c>
      <c r="B476" s="4">
        <v>34.65</v>
      </c>
      <c r="C476" s="4">
        <v>25.79</v>
      </c>
      <c r="I476" s="4">
        <v>0</v>
      </c>
      <c r="K476" s="6">
        <v>0</v>
      </c>
      <c r="L476" s="4">
        <v>0</v>
      </c>
      <c r="M476" s="4">
        <v>0</v>
      </c>
      <c r="N476" s="8">
        <f t="shared" si="18"/>
        <v>0</v>
      </c>
      <c r="Q476" s="4">
        <v>31544.2</v>
      </c>
      <c r="R476">
        <f t="shared" si="17"/>
        <v>0</v>
      </c>
    </row>
    <row r="477" spans="1:18">
      <c r="A477" s="2">
        <v>45919</v>
      </c>
      <c r="B477" s="4">
        <v>35.049999999999997</v>
      </c>
      <c r="C477" s="4">
        <v>25.02</v>
      </c>
      <c r="I477" s="4">
        <v>0</v>
      </c>
      <c r="K477" s="6">
        <v>0</v>
      </c>
      <c r="L477" s="4">
        <v>0</v>
      </c>
      <c r="M477" s="4">
        <v>473.7</v>
      </c>
      <c r="N477" s="8">
        <f t="shared" si="18"/>
        <v>242.20000000000073</v>
      </c>
      <c r="Q477" s="4">
        <v>31786.400000000001</v>
      </c>
      <c r="R477">
        <f t="shared" si="17"/>
        <v>0.31454545454545552</v>
      </c>
    </row>
    <row r="478" spans="1:18">
      <c r="A478" s="2">
        <v>45920</v>
      </c>
      <c r="B478" s="4">
        <v>33.08</v>
      </c>
      <c r="C478" s="4">
        <v>24.91</v>
      </c>
      <c r="I478" s="4">
        <v>0</v>
      </c>
      <c r="K478" s="6">
        <v>0</v>
      </c>
      <c r="L478" s="4">
        <v>0</v>
      </c>
      <c r="M478" s="4">
        <v>0</v>
      </c>
      <c r="N478" s="8">
        <f t="shared" si="18"/>
        <v>0</v>
      </c>
      <c r="Q478" s="4">
        <v>31786.400000000001</v>
      </c>
      <c r="R478">
        <f t="shared" si="17"/>
        <v>0</v>
      </c>
    </row>
    <row r="479" spans="1:18">
      <c r="A479" s="2">
        <v>45921</v>
      </c>
      <c r="B479" s="4">
        <v>33.92</v>
      </c>
      <c r="C479" s="4">
        <v>25.97</v>
      </c>
      <c r="I479" s="4">
        <v>0</v>
      </c>
      <c r="K479" s="6">
        <v>0</v>
      </c>
      <c r="L479" s="4">
        <v>0</v>
      </c>
      <c r="M479" s="4">
        <v>0</v>
      </c>
      <c r="N479" s="8">
        <f t="shared" si="18"/>
        <v>0</v>
      </c>
      <c r="Q479" s="4">
        <v>31786.400000000001</v>
      </c>
      <c r="R479">
        <f t="shared" si="17"/>
        <v>0</v>
      </c>
    </row>
    <row r="480" spans="1:18">
      <c r="A480" s="2">
        <v>45922</v>
      </c>
      <c r="B480" s="4">
        <v>33.19</v>
      </c>
      <c r="C480" s="4">
        <v>25.53</v>
      </c>
      <c r="I480" s="4">
        <v>0</v>
      </c>
      <c r="K480" s="6">
        <v>0</v>
      </c>
      <c r="L480" s="4">
        <v>0</v>
      </c>
      <c r="M480" s="4">
        <v>0</v>
      </c>
      <c r="N480" s="8">
        <f t="shared" si="18"/>
        <v>0</v>
      </c>
      <c r="Q480" s="4">
        <v>31786.400000000001</v>
      </c>
      <c r="R480">
        <f t="shared" si="17"/>
        <v>0</v>
      </c>
    </row>
    <row r="481" spans="1:18">
      <c r="A481" s="2">
        <v>45923</v>
      </c>
      <c r="B481" s="4">
        <v>29.12</v>
      </c>
      <c r="C481" s="4">
        <v>25.02</v>
      </c>
      <c r="I481" s="4">
        <v>0</v>
      </c>
      <c r="K481" s="6">
        <v>0</v>
      </c>
      <c r="L481" s="4">
        <v>0</v>
      </c>
      <c r="M481" s="4">
        <v>0</v>
      </c>
      <c r="N481" s="8">
        <f t="shared" si="18"/>
        <v>0</v>
      </c>
      <c r="Q481" s="4">
        <v>31786.400000000001</v>
      </c>
      <c r="R481">
        <f t="shared" si="17"/>
        <v>0</v>
      </c>
    </row>
    <row r="482" spans="1:18">
      <c r="A482" s="2">
        <v>45924</v>
      </c>
      <c r="B482" s="4">
        <v>29.78</v>
      </c>
      <c r="C482" s="4">
        <v>24.58</v>
      </c>
      <c r="I482" s="4">
        <v>0</v>
      </c>
      <c r="K482" s="6">
        <v>0</v>
      </c>
      <c r="L482" s="4">
        <v>0</v>
      </c>
      <c r="M482" s="4">
        <v>0</v>
      </c>
      <c r="N482" s="8">
        <f t="shared" si="18"/>
        <v>0</v>
      </c>
      <c r="Q482" s="4">
        <v>31786.400000000001</v>
      </c>
      <c r="R482">
        <f t="shared" si="17"/>
        <v>0</v>
      </c>
    </row>
    <row r="483" spans="1:18">
      <c r="A483" s="2">
        <v>45925</v>
      </c>
      <c r="B483" s="4">
        <v>33.369999999999997</v>
      </c>
      <c r="C483" s="4">
        <v>25.13</v>
      </c>
      <c r="I483" s="4">
        <v>0</v>
      </c>
      <c r="K483" s="6">
        <v>0</v>
      </c>
      <c r="L483" s="4">
        <v>0</v>
      </c>
      <c r="M483" s="4">
        <v>0</v>
      </c>
      <c r="N483" s="8">
        <f t="shared" si="18"/>
        <v>0</v>
      </c>
      <c r="Q483" s="4">
        <v>31786.400000000001</v>
      </c>
      <c r="R483">
        <f t="shared" si="17"/>
        <v>0</v>
      </c>
    </row>
    <row r="484" spans="1:18">
      <c r="A484" s="2">
        <v>45926</v>
      </c>
      <c r="B484" s="4">
        <v>32.93</v>
      </c>
      <c r="C484" s="4">
        <v>26.48</v>
      </c>
      <c r="I484" s="4">
        <v>0</v>
      </c>
      <c r="K484" s="6">
        <v>0</v>
      </c>
      <c r="L484" s="4">
        <v>0</v>
      </c>
      <c r="M484" s="4">
        <v>0</v>
      </c>
      <c r="N484" s="8">
        <f t="shared" si="18"/>
        <v>0</v>
      </c>
      <c r="Q484" s="4">
        <v>31786.400000000001</v>
      </c>
      <c r="R484">
        <f t="shared" si="17"/>
        <v>0</v>
      </c>
    </row>
    <row r="485" spans="1:18">
      <c r="A485" s="2">
        <v>45927</v>
      </c>
      <c r="B485" s="4">
        <v>35.31</v>
      </c>
      <c r="C485" s="4">
        <v>26.04</v>
      </c>
      <c r="I485" s="4">
        <v>0</v>
      </c>
      <c r="K485" s="6">
        <v>0</v>
      </c>
      <c r="L485" s="4">
        <v>0</v>
      </c>
      <c r="M485" s="4">
        <v>0</v>
      </c>
      <c r="N485" s="8">
        <f t="shared" si="18"/>
        <v>0</v>
      </c>
      <c r="Q485" s="4">
        <v>31786.400000000001</v>
      </c>
      <c r="R485">
        <f t="shared" si="17"/>
        <v>0</v>
      </c>
    </row>
    <row r="486" spans="1:18">
      <c r="A486" s="2">
        <v>45928</v>
      </c>
      <c r="B486" s="4">
        <v>33.549999999999997</v>
      </c>
      <c r="C486" s="4">
        <v>25.57</v>
      </c>
      <c r="I486" s="4">
        <v>0</v>
      </c>
      <c r="K486" s="6">
        <v>0</v>
      </c>
      <c r="L486" s="4">
        <v>0</v>
      </c>
      <c r="M486" s="4">
        <v>0</v>
      </c>
      <c r="N486" s="8">
        <f t="shared" si="18"/>
        <v>0</v>
      </c>
      <c r="Q486" s="4">
        <v>31786.400000000001</v>
      </c>
      <c r="R486">
        <f t="shared" si="17"/>
        <v>0</v>
      </c>
    </row>
    <row r="487" spans="1:18">
      <c r="A487" s="2">
        <v>45929</v>
      </c>
      <c r="B487" s="4">
        <v>33.479999999999997</v>
      </c>
      <c r="C487" s="4">
        <v>25.42</v>
      </c>
      <c r="I487" s="4">
        <v>0</v>
      </c>
      <c r="K487" s="6">
        <v>0</v>
      </c>
      <c r="L487" s="4">
        <v>0</v>
      </c>
      <c r="M487" s="4">
        <v>0</v>
      </c>
      <c r="N487" s="8">
        <f t="shared" si="18"/>
        <v>0</v>
      </c>
      <c r="Q487" s="4">
        <v>31786.400000000001</v>
      </c>
      <c r="R487">
        <f t="shared" si="17"/>
        <v>0</v>
      </c>
    </row>
    <row r="488" spans="1:18">
      <c r="A488" s="2">
        <v>45930</v>
      </c>
      <c r="B488" s="4">
        <v>33.590000000000003</v>
      </c>
      <c r="C488" s="4">
        <v>26.3</v>
      </c>
      <c r="I488" s="4">
        <v>0</v>
      </c>
      <c r="K488" s="6">
        <v>0</v>
      </c>
      <c r="L488" s="4">
        <v>0</v>
      </c>
      <c r="M488" s="4">
        <v>0</v>
      </c>
      <c r="N488" s="8">
        <f t="shared" si="18"/>
        <v>0</v>
      </c>
      <c r="Q488" s="4">
        <v>31786.400000000001</v>
      </c>
      <c r="R488">
        <f t="shared" si="17"/>
        <v>0</v>
      </c>
    </row>
    <row r="489" spans="1:18">
      <c r="A489" s="2">
        <v>45931</v>
      </c>
      <c r="B489" s="4">
        <v>33</v>
      </c>
      <c r="C489" s="4">
        <v>25.27</v>
      </c>
      <c r="I489" s="4">
        <v>0</v>
      </c>
      <c r="K489" s="6">
        <v>0</v>
      </c>
      <c r="L489" s="4">
        <v>0</v>
      </c>
      <c r="M489" s="4">
        <v>0</v>
      </c>
      <c r="N489" s="8">
        <f t="shared" si="18"/>
        <v>0</v>
      </c>
      <c r="Q489" s="4">
        <v>31786.400000000001</v>
      </c>
      <c r="R489">
        <f t="shared" si="17"/>
        <v>0</v>
      </c>
    </row>
    <row r="490" spans="1:18">
      <c r="A490" s="2">
        <v>45932</v>
      </c>
      <c r="B490" s="4">
        <v>33.22</v>
      </c>
      <c r="C490" s="4">
        <v>25.57</v>
      </c>
      <c r="I490" s="4">
        <v>0</v>
      </c>
      <c r="K490" s="6">
        <v>0</v>
      </c>
      <c r="L490" s="4">
        <v>0</v>
      </c>
      <c r="M490" s="4">
        <v>0</v>
      </c>
      <c r="N490" s="8">
        <f t="shared" si="18"/>
        <v>0</v>
      </c>
      <c r="Q490" s="4">
        <v>31786.400000000001</v>
      </c>
      <c r="R490">
        <f t="shared" si="17"/>
        <v>0</v>
      </c>
    </row>
    <row r="491" spans="1:18">
      <c r="A491" s="2">
        <v>45933</v>
      </c>
      <c r="B491" s="4">
        <v>33.11</v>
      </c>
      <c r="C491" s="4">
        <v>24.76</v>
      </c>
      <c r="I491" s="4">
        <v>0</v>
      </c>
      <c r="K491" s="6">
        <v>0</v>
      </c>
      <c r="L491" s="4">
        <v>0</v>
      </c>
      <c r="M491" s="4">
        <v>0</v>
      </c>
      <c r="N491" s="8">
        <f t="shared" si="18"/>
        <v>0</v>
      </c>
      <c r="Q491" s="4">
        <v>31786.400000000001</v>
      </c>
      <c r="R491">
        <f t="shared" si="17"/>
        <v>0</v>
      </c>
    </row>
    <row r="492" spans="1:18">
      <c r="A492" s="2">
        <v>45934</v>
      </c>
      <c r="B492" s="4">
        <v>34.69</v>
      </c>
      <c r="C492" s="4">
        <v>25.02</v>
      </c>
      <c r="I492" s="4">
        <v>0</v>
      </c>
      <c r="K492" s="6">
        <v>0</v>
      </c>
      <c r="L492" s="4">
        <v>0</v>
      </c>
      <c r="M492" s="4">
        <v>402.5</v>
      </c>
      <c r="N492" s="8">
        <f t="shared" si="18"/>
        <v>279.59999999999854</v>
      </c>
      <c r="Q492" s="4">
        <v>32066</v>
      </c>
      <c r="R492">
        <f t="shared" si="17"/>
        <v>0.36311688311688123</v>
      </c>
    </row>
    <row r="493" spans="1:18">
      <c r="A493" s="2">
        <v>45935</v>
      </c>
      <c r="B493" s="4">
        <v>34.4</v>
      </c>
      <c r="C493" s="4">
        <v>23.85</v>
      </c>
      <c r="I493" s="4">
        <v>0</v>
      </c>
      <c r="K493" s="6">
        <v>0</v>
      </c>
      <c r="L493" s="4">
        <v>0</v>
      </c>
      <c r="M493" s="4">
        <v>0</v>
      </c>
      <c r="N493" s="8">
        <f t="shared" si="18"/>
        <v>0</v>
      </c>
      <c r="Q493" s="4">
        <v>32066</v>
      </c>
      <c r="R493">
        <f t="shared" si="17"/>
        <v>0</v>
      </c>
    </row>
    <row r="494" spans="1:18">
      <c r="A494" s="2">
        <v>45936</v>
      </c>
      <c r="B494" s="4">
        <v>32.75</v>
      </c>
      <c r="C494" s="4">
        <v>25.93</v>
      </c>
      <c r="I494" s="4">
        <v>0</v>
      </c>
      <c r="K494" s="6">
        <v>0</v>
      </c>
      <c r="L494" s="4">
        <v>0</v>
      </c>
      <c r="M494" s="4">
        <v>0</v>
      </c>
      <c r="N494" s="8">
        <f t="shared" si="18"/>
        <v>0</v>
      </c>
      <c r="Q494" s="4">
        <v>32066</v>
      </c>
      <c r="R494">
        <f t="shared" si="17"/>
        <v>0</v>
      </c>
    </row>
    <row r="495" spans="1:18">
      <c r="A495" s="2">
        <v>45937</v>
      </c>
      <c r="B495" s="4">
        <v>32.53</v>
      </c>
      <c r="C495" s="4">
        <v>26.74</v>
      </c>
      <c r="I495" s="4">
        <v>0</v>
      </c>
      <c r="K495" s="6">
        <v>0</v>
      </c>
      <c r="L495" s="4">
        <v>0</v>
      </c>
      <c r="M495" s="4">
        <v>0</v>
      </c>
      <c r="N495" s="8">
        <f t="shared" si="18"/>
        <v>0</v>
      </c>
      <c r="Q495" s="4">
        <v>32066</v>
      </c>
      <c r="R495">
        <f t="shared" si="17"/>
        <v>0</v>
      </c>
    </row>
    <row r="496" spans="1:18">
      <c r="A496" s="2">
        <v>45938</v>
      </c>
      <c r="B496" s="4">
        <v>32.78</v>
      </c>
      <c r="C496" s="4">
        <v>25.27</v>
      </c>
      <c r="I496" s="4">
        <v>0</v>
      </c>
      <c r="K496" s="6">
        <v>0</v>
      </c>
      <c r="L496" s="4">
        <v>0</v>
      </c>
      <c r="M496" s="4">
        <v>0</v>
      </c>
      <c r="N496" s="8">
        <f t="shared" si="18"/>
        <v>0</v>
      </c>
      <c r="Q496" s="4">
        <v>32066</v>
      </c>
      <c r="R496">
        <f t="shared" si="17"/>
        <v>0</v>
      </c>
    </row>
    <row r="497" spans="1:18">
      <c r="A497" s="2">
        <v>45939</v>
      </c>
      <c r="B497" s="4">
        <v>33.85</v>
      </c>
      <c r="C497" s="4">
        <v>25.42</v>
      </c>
      <c r="I497" s="4">
        <v>0</v>
      </c>
      <c r="K497" s="6">
        <v>0</v>
      </c>
      <c r="L497" s="4">
        <v>0</v>
      </c>
      <c r="M497" s="4">
        <v>0</v>
      </c>
      <c r="N497" s="8">
        <f t="shared" si="18"/>
        <v>0</v>
      </c>
      <c r="Q497" s="4">
        <v>32066</v>
      </c>
      <c r="R497">
        <f t="shared" si="17"/>
        <v>0</v>
      </c>
    </row>
    <row r="498" spans="1:18">
      <c r="A498" s="2">
        <v>45940</v>
      </c>
      <c r="B498" s="4">
        <v>34.1</v>
      </c>
      <c r="C498" s="4">
        <v>24.8</v>
      </c>
      <c r="I498" s="4">
        <v>0</v>
      </c>
      <c r="K498" s="6">
        <v>0</v>
      </c>
      <c r="L498" s="4">
        <v>0</v>
      </c>
      <c r="M498" s="4">
        <v>0</v>
      </c>
      <c r="N498" s="8">
        <f t="shared" si="18"/>
        <v>0</v>
      </c>
      <c r="Q498" s="4">
        <v>32066</v>
      </c>
      <c r="R498">
        <f t="shared" si="17"/>
        <v>0</v>
      </c>
    </row>
    <row r="499" spans="1:18">
      <c r="A499" s="2">
        <v>45941</v>
      </c>
      <c r="B499" s="4">
        <v>34.1</v>
      </c>
      <c r="C499" s="4">
        <v>24.98</v>
      </c>
      <c r="I499" s="4">
        <v>0</v>
      </c>
      <c r="K499" s="6">
        <v>0</v>
      </c>
      <c r="L499" s="4">
        <v>0</v>
      </c>
      <c r="M499" s="4">
        <v>0</v>
      </c>
      <c r="N499" s="8">
        <f t="shared" si="18"/>
        <v>0</v>
      </c>
      <c r="Q499" s="4">
        <v>32066</v>
      </c>
      <c r="R499">
        <f t="shared" si="17"/>
        <v>0</v>
      </c>
    </row>
    <row r="500" spans="1:18">
      <c r="A500" s="2">
        <v>45942</v>
      </c>
      <c r="B500" s="4">
        <v>34.51</v>
      </c>
      <c r="C500" s="4">
        <v>24.58</v>
      </c>
      <c r="I500" s="4">
        <v>0</v>
      </c>
      <c r="K500" s="6">
        <v>0</v>
      </c>
      <c r="L500" s="4">
        <v>0</v>
      </c>
      <c r="M500" s="4">
        <v>0</v>
      </c>
      <c r="N500" s="8">
        <f t="shared" si="18"/>
        <v>0</v>
      </c>
      <c r="Q500" s="4">
        <v>32066</v>
      </c>
      <c r="R500">
        <f t="shared" si="17"/>
        <v>0</v>
      </c>
    </row>
    <row r="501" spans="1:18">
      <c r="A501" s="2">
        <v>45943</v>
      </c>
      <c r="B501" s="4">
        <v>33.85</v>
      </c>
      <c r="C501" s="4">
        <v>24.62</v>
      </c>
      <c r="I501" s="4">
        <v>0</v>
      </c>
      <c r="K501" s="6">
        <v>0</v>
      </c>
      <c r="L501" s="4">
        <v>0</v>
      </c>
      <c r="M501" s="4">
        <v>474.2</v>
      </c>
      <c r="N501" s="8">
        <f t="shared" si="18"/>
        <v>283.09999999999854</v>
      </c>
      <c r="Q501" s="4">
        <v>32349.1</v>
      </c>
      <c r="R501">
        <f t="shared" si="17"/>
        <v>0.36766233766233575</v>
      </c>
    </row>
    <row r="502" spans="1:18">
      <c r="A502" s="2">
        <v>45944</v>
      </c>
      <c r="B502" s="4">
        <v>32.67</v>
      </c>
      <c r="C502" s="4">
        <v>25.05</v>
      </c>
      <c r="I502" s="4">
        <v>0</v>
      </c>
      <c r="K502" s="6">
        <v>0</v>
      </c>
      <c r="L502" s="4">
        <v>0</v>
      </c>
      <c r="M502" s="4">
        <v>0</v>
      </c>
      <c r="N502" s="8">
        <f t="shared" si="18"/>
        <v>0</v>
      </c>
      <c r="Q502" s="4">
        <v>32349.1</v>
      </c>
      <c r="R502">
        <f t="shared" si="17"/>
        <v>0</v>
      </c>
    </row>
    <row r="503" spans="1:18">
      <c r="A503" s="2">
        <v>45945</v>
      </c>
      <c r="B503" s="4">
        <v>33.44</v>
      </c>
      <c r="C503" s="4">
        <v>25.79</v>
      </c>
      <c r="I503" s="4">
        <v>0</v>
      </c>
      <c r="K503" s="6">
        <v>0</v>
      </c>
      <c r="L503" s="4">
        <v>0</v>
      </c>
      <c r="M503" s="4">
        <v>0</v>
      </c>
      <c r="N503" s="8">
        <f t="shared" si="18"/>
        <v>0</v>
      </c>
      <c r="Q503" s="4">
        <v>32349.1</v>
      </c>
      <c r="R503">
        <f t="shared" si="17"/>
        <v>0</v>
      </c>
    </row>
    <row r="504" spans="1:18">
      <c r="A504" s="2">
        <v>45946</v>
      </c>
      <c r="B504" s="4">
        <v>33.880000000000003</v>
      </c>
      <c r="C504" s="4">
        <v>25.31</v>
      </c>
      <c r="I504" s="4">
        <v>0</v>
      </c>
      <c r="K504" s="6">
        <v>0</v>
      </c>
      <c r="L504" s="4">
        <v>0</v>
      </c>
      <c r="M504" s="4">
        <v>0</v>
      </c>
      <c r="N504" s="8">
        <f t="shared" si="18"/>
        <v>0</v>
      </c>
      <c r="Q504" s="4">
        <v>32349.1</v>
      </c>
      <c r="R504">
        <f t="shared" si="17"/>
        <v>0</v>
      </c>
    </row>
    <row r="505" spans="1:18">
      <c r="A505" s="2">
        <v>45947</v>
      </c>
      <c r="B505" s="4">
        <v>34.51</v>
      </c>
      <c r="C505" s="4">
        <v>25.27</v>
      </c>
      <c r="I505" s="4">
        <v>0</v>
      </c>
      <c r="K505" s="6">
        <v>0</v>
      </c>
      <c r="L505" s="4">
        <v>0</v>
      </c>
      <c r="M505" s="4">
        <v>0</v>
      </c>
      <c r="N505" s="8">
        <f t="shared" si="18"/>
        <v>0</v>
      </c>
      <c r="Q505" s="4">
        <v>32349.1</v>
      </c>
      <c r="R505">
        <f t="shared" si="17"/>
        <v>0</v>
      </c>
    </row>
    <row r="506" spans="1:18">
      <c r="A506" s="2">
        <v>45948</v>
      </c>
      <c r="B506" s="4">
        <v>33.44</v>
      </c>
      <c r="C506" s="4">
        <v>25.16</v>
      </c>
      <c r="I506" s="4">
        <v>0</v>
      </c>
      <c r="K506" s="6">
        <v>0</v>
      </c>
      <c r="L506" s="4">
        <v>0</v>
      </c>
      <c r="M506" s="4">
        <v>0</v>
      </c>
      <c r="N506" s="8">
        <f t="shared" si="18"/>
        <v>0</v>
      </c>
      <c r="Q506" s="4">
        <v>32349.1</v>
      </c>
      <c r="R506">
        <f t="shared" si="17"/>
        <v>0</v>
      </c>
    </row>
    <row r="507" spans="1:18">
      <c r="A507" s="2">
        <v>45949</v>
      </c>
      <c r="B507" s="4">
        <v>32.42</v>
      </c>
      <c r="C507" s="4">
        <v>25.16</v>
      </c>
      <c r="I507" s="4">
        <v>0</v>
      </c>
      <c r="K507" s="6">
        <v>0</v>
      </c>
      <c r="L507" s="4">
        <v>0</v>
      </c>
      <c r="M507" s="4">
        <v>394</v>
      </c>
      <c r="N507" s="8">
        <f t="shared" si="18"/>
        <v>280.60000000000218</v>
      </c>
      <c r="Q507" s="4">
        <v>32629.7</v>
      </c>
      <c r="R507">
        <f t="shared" si="17"/>
        <v>0.36441558441558725</v>
      </c>
    </row>
    <row r="508" spans="1:18">
      <c r="A508" s="2">
        <v>45950</v>
      </c>
      <c r="B508" s="4">
        <v>28.06</v>
      </c>
      <c r="C508" s="4">
        <v>24.1</v>
      </c>
      <c r="I508" s="4">
        <v>0</v>
      </c>
      <c r="K508" s="6">
        <v>0</v>
      </c>
      <c r="L508" s="4">
        <v>0</v>
      </c>
      <c r="M508" s="4">
        <v>0</v>
      </c>
      <c r="N508" s="8">
        <f t="shared" si="18"/>
        <v>0</v>
      </c>
      <c r="Q508" s="4">
        <v>32629.7</v>
      </c>
      <c r="R508">
        <f t="shared" si="17"/>
        <v>0</v>
      </c>
    </row>
    <row r="509" spans="1:18">
      <c r="A509" s="2">
        <v>45951</v>
      </c>
      <c r="B509" s="4">
        <v>27.77</v>
      </c>
      <c r="C509" s="4">
        <v>23.26</v>
      </c>
      <c r="I509" s="4">
        <v>0</v>
      </c>
      <c r="K509" s="6">
        <v>0</v>
      </c>
      <c r="L509" s="4">
        <v>0</v>
      </c>
      <c r="M509" s="4">
        <v>0</v>
      </c>
      <c r="N509" s="8">
        <f t="shared" si="18"/>
        <v>0</v>
      </c>
      <c r="Q509" s="4">
        <v>32629.7</v>
      </c>
      <c r="R509">
        <f t="shared" si="17"/>
        <v>0</v>
      </c>
    </row>
    <row r="510" spans="1:18">
      <c r="A510" s="2">
        <v>45952</v>
      </c>
      <c r="B510" s="4">
        <v>27.66</v>
      </c>
      <c r="C510" s="4">
        <v>23</v>
      </c>
      <c r="I510" s="4">
        <v>0</v>
      </c>
      <c r="K510" s="6">
        <v>0</v>
      </c>
      <c r="L510" s="4">
        <v>0</v>
      </c>
      <c r="M510" s="4">
        <v>0</v>
      </c>
      <c r="N510" s="8">
        <f t="shared" si="18"/>
        <v>0</v>
      </c>
      <c r="Q510" s="4">
        <v>32629.7</v>
      </c>
      <c r="R510">
        <f t="shared" si="17"/>
        <v>0</v>
      </c>
    </row>
    <row r="511" spans="1:18">
      <c r="A511" s="2">
        <v>45953</v>
      </c>
      <c r="B511" s="4">
        <v>28.13</v>
      </c>
      <c r="C511" s="4">
        <v>23</v>
      </c>
      <c r="I511" s="4">
        <v>0</v>
      </c>
      <c r="K511" s="6">
        <v>0</v>
      </c>
      <c r="L511" s="4">
        <v>0</v>
      </c>
      <c r="M511" s="4">
        <v>0</v>
      </c>
      <c r="N511" s="8">
        <f t="shared" si="18"/>
        <v>0</v>
      </c>
      <c r="Q511" s="4">
        <v>32629.7</v>
      </c>
      <c r="R511">
        <f t="shared" si="17"/>
        <v>0</v>
      </c>
    </row>
    <row r="512" spans="1:18">
      <c r="A512" s="2">
        <v>45954</v>
      </c>
      <c r="B512" s="4">
        <v>28.97</v>
      </c>
      <c r="C512" s="4">
        <v>23.26</v>
      </c>
      <c r="I512" s="4">
        <v>0</v>
      </c>
      <c r="K512" s="6">
        <v>0</v>
      </c>
      <c r="L512" s="4">
        <v>0</v>
      </c>
      <c r="M512" s="4">
        <v>0</v>
      </c>
      <c r="N512" s="8">
        <f t="shared" si="18"/>
        <v>0</v>
      </c>
      <c r="Q512" s="4">
        <v>32629.7</v>
      </c>
      <c r="R512">
        <f t="shared" si="17"/>
        <v>0</v>
      </c>
    </row>
    <row r="513" spans="1:18">
      <c r="A513" s="2">
        <v>45955</v>
      </c>
      <c r="B513" s="4">
        <v>29.52</v>
      </c>
      <c r="C513" s="4">
        <v>22.89</v>
      </c>
      <c r="I513" s="4">
        <v>0</v>
      </c>
      <c r="K513" s="6">
        <v>0</v>
      </c>
      <c r="L513" s="4">
        <v>0</v>
      </c>
      <c r="M513" s="4">
        <v>0</v>
      </c>
      <c r="N513" s="8">
        <f t="shared" si="18"/>
        <v>0</v>
      </c>
      <c r="Q513" s="4">
        <v>32629.7</v>
      </c>
      <c r="R513">
        <f t="shared" si="17"/>
        <v>0</v>
      </c>
    </row>
    <row r="514" spans="1:18">
      <c r="A514" s="2">
        <v>45956</v>
      </c>
      <c r="K514" s="6">
        <v>0</v>
      </c>
      <c r="L514" s="4">
        <v>0</v>
      </c>
      <c r="M514" s="4">
        <v>0</v>
      </c>
      <c r="N514" s="8">
        <v>0</v>
      </c>
    </row>
    <row r="515" spans="1:18">
      <c r="A515" s="2">
        <v>45957</v>
      </c>
      <c r="K515" s="6">
        <v>0</v>
      </c>
      <c r="L515" s="4">
        <v>0</v>
      </c>
      <c r="M515" s="4">
        <v>0</v>
      </c>
      <c r="N515" s="8">
        <f t="shared" si="18"/>
        <v>0</v>
      </c>
    </row>
    <row r="516" spans="1:18">
      <c r="A516" s="2">
        <v>45958</v>
      </c>
      <c r="K516" s="6">
        <v>0</v>
      </c>
      <c r="L516" s="4">
        <v>0</v>
      </c>
      <c r="M516" s="4">
        <v>0</v>
      </c>
      <c r="N516" s="8">
        <f t="shared" si="18"/>
        <v>0</v>
      </c>
    </row>
    <row r="517" spans="1:18">
      <c r="A517" s="2">
        <v>45959</v>
      </c>
      <c r="K517" s="6">
        <v>0</v>
      </c>
      <c r="L517" s="4">
        <v>0</v>
      </c>
      <c r="M517" s="4">
        <v>0</v>
      </c>
      <c r="N517" s="8">
        <f t="shared" si="18"/>
        <v>0</v>
      </c>
    </row>
    <row r="518" spans="1:18">
      <c r="A518" s="2">
        <v>45960</v>
      </c>
      <c r="K518" s="6">
        <v>0</v>
      </c>
      <c r="L518" s="4">
        <v>0</v>
      </c>
      <c r="M518" s="4">
        <v>0</v>
      </c>
      <c r="N518" s="8">
        <f t="shared" si="18"/>
        <v>0</v>
      </c>
    </row>
    <row r="519" spans="1:18">
      <c r="A519" s="2">
        <v>45961</v>
      </c>
      <c r="K519" s="6">
        <v>0</v>
      </c>
      <c r="L519" s="4">
        <v>0</v>
      </c>
      <c r="M519" s="4">
        <v>0</v>
      </c>
      <c r="N519" s="8">
        <f t="shared" si="18"/>
        <v>0</v>
      </c>
    </row>
  </sheetData>
  <phoneticPr fontId="2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BEE76-B07B-42F9-946D-938D2EF24152}">
  <dimension ref="A1"/>
  <sheetViews>
    <sheetView zoomScale="60" zoomScaleNormal="100" workbookViewId="0">
      <selection activeCell="I31" sqref="I31"/>
    </sheetView>
  </sheetViews>
  <sheetFormatPr defaultRowHeight="14.5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圖表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渝睿 王</cp:lastModifiedBy>
  <dcterms:created xsi:type="dcterms:W3CDTF">2025-10-25T10:46:07Z</dcterms:created>
  <dcterms:modified xsi:type="dcterms:W3CDTF">2025-10-27T09:42:08Z</dcterms:modified>
</cp:coreProperties>
</file>